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<sst xmlns="http://schemas.openxmlformats.org/spreadsheetml/2006/main" count="2851" uniqueCount="469">
  <si>
    <t xml:space="preserve">Order ID</t>
  </si>
  <si>
    <t xml:space="preserve">Date</t>
  </si>
  <si>
    <t xml:space="preserve">Region</t>
  </si>
  <si>
    <t xml:space="preserve">Category</t>
  </si>
  <si>
    <t xml:space="preserve">Product</t>
  </si>
  <si>
    <t xml:space="preserve">Sales Rep</t>
  </si>
  <si>
    <t xml:space="preserve">Customer Segment</t>
  </si>
  <si>
    <t xml:space="preserve">Payment Method</t>
  </si>
  <si>
    <t xml:space="preserve">Units Sold</t>
  </si>
  <si>
    <t xml:space="preserve">Unit Price</t>
  </si>
  <si>
    <t xml:space="preserve">Sales Amount</t>
  </si>
  <si>
    <t xml:space="preserve">Month</t>
  </si>
  <si>
    <t xml:space="preserve">ORD-100276</t>
  </si>
  <si>
    <t xml:space="preserve">South</t>
  </si>
  <si>
    <t xml:space="preserve">Apparel</t>
  </si>
  <si>
    <t xml:space="preserve">Men's T-Shirt</t>
  </si>
  <si>
    <t xml:space="preserve">N. Iyer</t>
  </si>
  <si>
    <t xml:space="preserve">Retail</t>
  </si>
  <si>
    <t xml:space="preserve">UPI</t>
  </si>
  <si>
    <t xml:space="preserve">ORD-100242</t>
  </si>
  <si>
    <t xml:space="preserve">Furniture</t>
  </si>
  <si>
    <t xml:space="preserve">Office Chair</t>
  </si>
  <si>
    <t xml:space="preserve">A. Sharma</t>
  </si>
  <si>
    <t xml:space="preserve">Credit Card</t>
  </si>
  <si>
    <t xml:space="preserve">ORD-100397</t>
  </si>
  <si>
    <t xml:space="preserve">East</t>
  </si>
  <si>
    <t xml:space="preserve">Denim Jacket</t>
  </si>
  <si>
    <t xml:space="preserve">S. Joshi</t>
  </si>
  <si>
    <t xml:space="preserve">Cash on Delivery</t>
  </si>
  <si>
    <t xml:space="preserve">ORD-100141</t>
  </si>
  <si>
    <t xml:space="preserve">North</t>
  </si>
  <si>
    <t xml:space="preserve">Running Shoes</t>
  </si>
  <si>
    <t xml:space="preserve">Wholesale</t>
  </si>
  <si>
    <t xml:space="preserve">Net Banking</t>
  </si>
  <si>
    <t xml:space="preserve">ORD-100174</t>
  </si>
  <si>
    <t xml:space="preserve">Home Appliances</t>
  </si>
  <si>
    <t xml:space="preserve">Mixer Grinder</t>
  </si>
  <si>
    <t xml:space="preserve">ORD-100207</t>
  </si>
  <si>
    <t xml:space="preserve">K. Reddy</t>
  </si>
  <si>
    <t xml:space="preserve">ORD-100239</t>
  </si>
  <si>
    <t xml:space="preserve">M. Khan</t>
  </si>
  <si>
    <t xml:space="preserve">Online</t>
  </si>
  <si>
    <t xml:space="preserve">ORD-100353</t>
  </si>
  <si>
    <t xml:space="preserve">Bookshelf</t>
  </si>
  <si>
    <t xml:space="preserve">ORD-100030</t>
  </si>
  <si>
    <t xml:space="preserve">ORD-100220</t>
  </si>
  <si>
    <t xml:space="preserve">Electronics</t>
  </si>
  <si>
    <t xml:space="preserve">Power Bank</t>
  </si>
  <si>
    <t xml:space="preserve">ORD-100281</t>
  </si>
  <si>
    <t xml:space="preserve">ORD-100022</t>
  </si>
  <si>
    <t xml:space="preserve">Wireless Earbuds</t>
  </si>
  <si>
    <t xml:space="preserve">ORD-100277</t>
  </si>
  <si>
    <t xml:space="preserve">Air Fryer</t>
  </si>
  <si>
    <t xml:space="preserve">ORD-100372</t>
  </si>
  <si>
    <t xml:space="preserve">ORD-100137</t>
  </si>
  <si>
    <t xml:space="preserve">ORD-100287</t>
  </si>
  <si>
    <t xml:space="preserve">Smartwatch</t>
  </si>
  <si>
    <t xml:space="preserve">P. Verma</t>
  </si>
  <si>
    <t xml:space="preserve">ORD-100253</t>
  </si>
  <si>
    <t xml:space="preserve">ORD-100213</t>
  </si>
  <si>
    <t xml:space="preserve">ORD-100120</t>
  </si>
  <si>
    <t xml:space="preserve">West</t>
  </si>
  <si>
    <t xml:space="preserve">ORD-100247</t>
  </si>
  <si>
    <t xml:space="preserve">ORD-100351</t>
  </si>
  <si>
    <t xml:space="preserve">Bluetooth Speaker</t>
  </si>
  <si>
    <t xml:space="preserve">ORD-100073</t>
  </si>
  <si>
    <t xml:space="preserve">ORD-100035</t>
  </si>
  <si>
    <t xml:space="preserve">ORD-100143</t>
  </si>
  <si>
    <t xml:space="preserve">ORD-100184</t>
  </si>
  <si>
    <t xml:space="preserve">ORD-100189</t>
  </si>
  <si>
    <t xml:space="preserve">Bean Bag</t>
  </si>
  <si>
    <t xml:space="preserve">ORD-100231</t>
  </si>
  <si>
    <t xml:space="preserve">Electric Kettle</t>
  </si>
  <si>
    <t xml:space="preserve">ORD-100225</t>
  </si>
  <si>
    <t xml:space="preserve">ORD-100255</t>
  </si>
  <si>
    <t xml:space="preserve">Study Table</t>
  </si>
  <si>
    <t xml:space="preserve">ORD-100365</t>
  </si>
  <si>
    <t xml:space="preserve">Vacuum Cleaner</t>
  </si>
  <si>
    <t xml:space="preserve">ORD-100099</t>
  </si>
  <si>
    <t xml:space="preserve">ORD-100394</t>
  </si>
  <si>
    <t xml:space="preserve">ORD-100252</t>
  </si>
  <si>
    <t xml:space="preserve">ORD-100083</t>
  </si>
  <si>
    <t xml:space="preserve">ORD-100063</t>
  </si>
  <si>
    <t xml:space="preserve">ORD-100094</t>
  </si>
  <si>
    <t xml:space="preserve">ORD-100007</t>
  </si>
  <si>
    <t xml:space="preserve">ORD-100105</t>
  </si>
  <si>
    <t xml:space="preserve">ORD-100079</t>
  </si>
  <si>
    <t xml:space="preserve">ORD-100117</t>
  </si>
  <si>
    <t xml:space="preserve">ORD-100357</t>
  </si>
  <si>
    <t xml:space="preserve">ORD-100361</t>
  </si>
  <si>
    <t xml:space="preserve">ORD-100040</t>
  </si>
  <si>
    <t xml:space="preserve">ORD-100161</t>
  </si>
  <si>
    <t xml:space="preserve">ORD-100086</t>
  </si>
  <si>
    <t xml:space="preserve">ORD-100199</t>
  </si>
  <si>
    <t xml:space="preserve">ORD-100167</t>
  </si>
  <si>
    <t xml:space="preserve">Women's Kurti</t>
  </si>
  <si>
    <t xml:space="preserve">ORD-100017</t>
  </si>
  <si>
    <t xml:space="preserve">ORD-100060</t>
  </si>
  <si>
    <t xml:space="preserve">ORD-100373</t>
  </si>
  <si>
    <t xml:space="preserve">ORD-100101</t>
  </si>
  <si>
    <t xml:space="preserve">ORD-100262</t>
  </si>
  <si>
    <t xml:space="preserve">ORD-100293</t>
  </si>
  <si>
    <t xml:space="preserve">ORD-100047</t>
  </si>
  <si>
    <t xml:space="preserve">ORD-100370</t>
  </si>
  <si>
    <t xml:space="preserve">ORD-100066</t>
  </si>
  <si>
    <t xml:space="preserve">ORD-100223</t>
  </si>
  <si>
    <t xml:space="preserve">ORD-100038</t>
  </si>
  <si>
    <t xml:space="preserve">ORD-100046</t>
  </si>
  <si>
    <t xml:space="preserve">ORD-100177</t>
  </si>
  <si>
    <t xml:space="preserve">ORD-100254</t>
  </si>
  <si>
    <t xml:space="preserve">ORD-100003</t>
  </si>
  <si>
    <t xml:space="preserve">ORD-100146</t>
  </si>
  <si>
    <t xml:space="preserve">ORD-100286</t>
  </si>
  <si>
    <t xml:space="preserve">ORD-100294</t>
  </si>
  <si>
    <t xml:space="preserve">ORD-100288</t>
  </si>
  <si>
    <t xml:space="preserve">ORD-100352</t>
  </si>
  <si>
    <t xml:space="preserve">ORD-100256</t>
  </si>
  <si>
    <t xml:space="preserve">ORD-100295</t>
  </si>
  <si>
    <t xml:space="preserve">ORD-100004</t>
  </si>
  <si>
    <t xml:space="preserve">ORD-100013</t>
  </si>
  <si>
    <t xml:space="preserve">ORD-100313</t>
  </si>
  <si>
    <t xml:space="preserve">ORD-100200</t>
  </si>
  <si>
    <t xml:space="preserve">ORD-100068</t>
  </si>
  <si>
    <t xml:space="preserve">ORD-100056</t>
  </si>
  <si>
    <t xml:space="preserve">ORD-100151</t>
  </si>
  <si>
    <t xml:space="preserve">ORD-100033</t>
  </si>
  <si>
    <t xml:space="preserve">ORD-100039</t>
  </si>
  <si>
    <t xml:space="preserve">ORD-100232</t>
  </si>
  <si>
    <t xml:space="preserve">ORD-100308</t>
  </si>
  <si>
    <t xml:space="preserve">ORD-100317</t>
  </si>
  <si>
    <t xml:space="preserve">ORD-100282</t>
  </si>
  <si>
    <t xml:space="preserve">ORD-100310</t>
  </si>
  <si>
    <t xml:space="preserve">ORD-100008</t>
  </si>
  <si>
    <t xml:space="preserve">ORD-100130</t>
  </si>
  <si>
    <t xml:space="preserve">ORD-100385</t>
  </si>
  <si>
    <t xml:space="preserve">ORD-100158</t>
  </si>
  <si>
    <t xml:space="preserve">ORD-100350</t>
  </si>
  <si>
    <t xml:space="preserve">ORD-100102</t>
  </si>
  <si>
    <t xml:space="preserve">ORD-100224</t>
  </si>
  <si>
    <t xml:space="preserve">ORD-100159</t>
  </si>
  <si>
    <t xml:space="preserve">ORD-100110</t>
  </si>
  <si>
    <t xml:space="preserve">ORD-100123</t>
  </si>
  <si>
    <t xml:space="preserve">ORD-100031</t>
  </si>
  <si>
    <t xml:space="preserve">ORD-100091</t>
  </si>
  <si>
    <t xml:space="preserve">ORD-100090</t>
  </si>
  <si>
    <t xml:space="preserve">ORD-100175</t>
  </si>
  <si>
    <t xml:space="preserve">ORD-100326</t>
  </si>
  <si>
    <t xml:space="preserve">ORD-100195</t>
  </si>
  <si>
    <t xml:space="preserve">ORD-100309</t>
  </si>
  <si>
    <t xml:space="preserve">ORD-100019</t>
  </si>
  <si>
    <t xml:space="preserve">ORD-100369</t>
  </si>
  <si>
    <t xml:space="preserve">ORD-100291</t>
  </si>
  <si>
    <t xml:space="preserve">ORD-100399</t>
  </si>
  <si>
    <t xml:space="preserve">ORD-100122</t>
  </si>
  <si>
    <t xml:space="preserve">ORD-100023</t>
  </si>
  <si>
    <t xml:space="preserve">ORD-100092</t>
  </si>
  <si>
    <t xml:space="preserve">ORD-100139</t>
  </si>
  <si>
    <t xml:space="preserve">ORD-100024</t>
  </si>
  <si>
    <t xml:space="preserve">ORD-100248</t>
  </si>
  <si>
    <t xml:space="preserve">ORD-100014</t>
  </si>
  <si>
    <t xml:space="preserve">ORD-100069</t>
  </si>
  <si>
    <t xml:space="preserve">ORD-100160</t>
  </si>
  <si>
    <t xml:space="preserve">ORD-100085</t>
  </si>
  <si>
    <t xml:space="preserve">ORD-100150</t>
  </si>
  <si>
    <t xml:space="preserve">ORD-100212</t>
  </si>
  <si>
    <t xml:space="preserve">ORD-100148</t>
  </si>
  <si>
    <t xml:space="preserve">ORD-100344</t>
  </si>
  <si>
    <t xml:space="preserve">ORD-100149</t>
  </si>
  <si>
    <t xml:space="preserve">ORD-100250</t>
  </si>
  <si>
    <t xml:space="preserve">ORD-100140</t>
  </si>
  <si>
    <t xml:space="preserve">ORD-100098</t>
  </si>
  <si>
    <t xml:space="preserve">ORD-100166</t>
  </si>
  <si>
    <t xml:space="preserve">ORD-100108</t>
  </si>
  <si>
    <t xml:space="preserve">ORD-100245</t>
  </si>
  <si>
    <t xml:space="preserve">ORD-100283</t>
  </si>
  <si>
    <t xml:space="preserve">ORD-100348</t>
  </si>
  <si>
    <t xml:space="preserve">ORD-100052</t>
  </si>
  <si>
    <t xml:space="preserve">ORD-100112</t>
  </si>
  <si>
    <t xml:space="preserve">ORD-100170</t>
  </si>
  <si>
    <t xml:space="preserve">ORD-100227</t>
  </si>
  <si>
    <t xml:space="preserve">ORD-100269</t>
  </si>
  <si>
    <t xml:space="preserve">ORD-100362</t>
  </si>
  <si>
    <t xml:space="preserve">ORD-100107</t>
  </si>
  <si>
    <t xml:space="preserve">ORD-100172</t>
  </si>
  <si>
    <t xml:space="preserve">ORD-100162</t>
  </si>
  <si>
    <t xml:space="preserve">ORD-100366</t>
  </si>
  <si>
    <t xml:space="preserve">ORD-100021</t>
  </si>
  <si>
    <t xml:space="preserve">ORD-100062</t>
  </si>
  <si>
    <t xml:space="preserve">ORD-100135</t>
  </si>
  <si>
    <t xml:space="preserve">ORD-100376</t>
  </si>
  <si>
    <t xml:space="preserve">ORD-100391</t>
  </si>
  <si>
    <t xml:space="preserve">ORD-100241</t>
  </si>
  <si>
    <t xml:space="preserve">ORD-100045</t>
  </si>
  <si>
    <t xml:space="preserve">ORD-100065</t>
  </si>
  <si>
    <t xml:space="preserve">ORD-100297</t>
  </si>
  <si>
    <t xml:space="preserve">ORD-100043</t>
  </si>
  <si>
    <t xml:space="preserve">ORD-100342</t>
  </si>
  <si>
    <t xml:space="preserve">ORD-100388</t>
  </si>
  <si>
    <t xml:space="preserve">ORD-100205</t>
  </si>
  <si>
    <t xml:space="preserve">ORD-100015</t>
  </si>
  <si>
    <t xml:space="preserve">ORD-100368</t>
  </si>
  <si>
    <t xml:space="preserve">ORD-100234</t>
  </si>
  <si>
    <t xml:space="preserve">ORD-100012</t>
  </si>
  <si>
    <t xml:space="preserve">ORD-100266</t>
  </si>
  <si>
    <t xml:space="preserve">ORD-100048</t>
  </si>
  <si>
    <t xml:space="preserve">ORD-100194</t>
  </si>
  <si>
    <t xml:space="preserve">ORD-100235</t>
  </si>
  <si>
    <t xml:space="preserve">ORD-100285</t>
  </si>
  <si>
    <t xml:space="preserve">ORD-100336</t>
  </si>
  <si>
    <t xml:space="preserve">ORD-100053</t>
  </si>
  <si>
    <t xml:space="preserve">ORD-100206</t>
  </si>
  <si>
    <t xml:space="preserve">ORD-100070</t>
  </si>
  <si>
    <t xml:space="preserve">ORD-100183</t>
  </si>
  <si>
    <t xml:space="preserve">ORD-100258</t>
  </si>
  <si>
    <t xml:space="preserve">ORD-100298</t>
  </si>
  <si>
    <t xml:space="preserve">ORD-100144</t>
  </si>
  <si>
    <t xml:space="preserve">ORD-100211</t>
  </si>
  <si>
    <t xml:space="preserve">ORD-100009</t>
  </si>
  <si>
    <t xml:space="preserve">ORD-100356</t>
  </si>
  <si>
    <t xml:space="preserve">ORD-100208</t>
  </si>
  <si>
    <t xml:space="preserve">ORD-100226</t>
  </si>
  <si>
    <t xml:space="preserve">ORD-100155</t>
  </si>
  <si>
    <t xml:space="preserve">ORD-100156</t>
  </si>
  <si>
    <t xml:space="preserve">ORD-100001</t>
  </si>
  <si>
    <t xml:space="preserve">ORD-100164</t>
  </si>
  <si>
    <t xml:space="preserve">ORD-100364</t>
  </si>
  <si>
    <t xml:space="preserve">ORD-100334</t>
  </si>
  <si>
    <t xml:space="preserve">ORD-100042</t>
  </si>
  <si>
    <t xml:space="preserve">ORD-100064</t>
  </si>
  <si>
    <t xml:space="preserve">ORD-100268</t>
  </si>
  <si>
    <t xml:space="preserve">ORD-100078</t>
  </si>
  <si>
    <t xml:space="preserve">ORD-100026</t>
  </si>
  <si>
    <t xml:space="preserve">ORD-100071</t>
  </si>
  <si>
    <t xml:space="preserve">ORD-100320</t>
  </si>
  <si>
    <t xml:space="preserve">ORD-100236</t>
  </si>
  <si>
    <t xml:space="preserve">ORD-100076</t>
  </si>
  <si>
    <t xml:space="preserve">ORD-100337</t>
  </si>
  <si>
    <t xml:space="preserve">ORD-100301</t>
  </si>
  <si>
    <t xml:space="preserve">ORD-100302</t>
  </si>
  <si>
    <t xml:space="preserve">ORD-100384</t>
  </si>
  <si>
    <t xml:space="preserve">ORD-100280</t>
  </si>
  <si>
    <t xml:space="preserve">ORD-100332</t>
  </si>
  <si>
    <t xml:space="preserve">ORD-100041</t>
  </si>
  <si>
    <t xml:space="preserve">ORD-100315</t>
  </si>
  <si>
    <t xml:space="preserve">ORD-100218</t>
  </si>
  <si>
    <t xml:space="preserve">ORD-100340</t>
  </si>
  <si>
    <t xml:space="preserve">ORD-100116</t>
  </si>
  <si>
    <t xml:space="preserve">ORD-100127</t>
  </si>
  <si>
    <t xml:space="preserve">ORD-100273</t>
  </si>
  <si>
    <t xml:space="preserve">ORD-100176</t>
  </si>
  <si>
    <t xml:space="preserve">ORD-100219</t>
  </si>
  <si>
    <t xml:space="preserve">ORD-100392</t>
  </si>
  <si>
    <t xml:space="preserve">ORD-100074</t>
  </si>
  <si>
    <t xml:space="preserve">ORD-100229</t>
  </si>
  <si>
    <t xml:space="preserve">ORD-100095</t>
  </si>
  <si>
    <t xml:space="preserve">ORD-100222</t>
  </si>
  <si>
    <t xml:space="preserve">ORD-100243</t>
  </si>
  <si>
    <t xml:space="preserve">ORD-100259</t>
  </si>
  <si>
    <t xml:space="preserve">ORD-100398</t>
  </si>
  <si>
    <t xml:space="preserve">ORD-100329</t>
  </si>
  <si>
    <t xml:space="preserve">ORD-100072</t>
  </si>
  <si>
    <t xml:space="preserve">ORD-100077</t>
  </si>
  <si>
    <t xml:space="preserve">ORD-100028</t>
  </si>
  <si>
    <t xml:space="preserve">ORD-100118</t>
  </si>
  <si>
    <t xml:space="preserve">ORD-100169</t>
  </si>
  <si>
    <t xml:space="preserve">ORD-100197</t>
  </si>
  <si>
    <t xml:space="preserve">ORD-100378</t>
  </si>
  <si>
    <t xml:space="preserve">ORD-100318</t>
  </si>
  <si>
    <t xml:space="preserve">ORD-100075</t>
  </si>
  <si>
    <t xml:space="preserve">ORD-100305</t>
  </si>
  <si>
    <t xml:space="preserve">ORD-100275</t>
  </si>
  <si>
    <t xml:space="preserve">ORD-100325</t>
  </si>
  <si>
    <t xml:space="preserve">ORD-100400</t>
  </si>
  <si>
    <t xml:space="preserve">ORD-100178</t>
  </si>
  <si>
    <t xml:space="preserve">ORD-100096</t>
  </si>
  <si>
    <t xml:space="preserve">ORD-100202</t>
  </si>
  <si>
    <t xml:space="preserve">ORD-100249</t>
  </si>
  <si>
    <t xml:space="preserve">ORD-100006</t>
  </si>
  <si>
    <t xml:space="preserve">ORD-100050</t>
  </si>
  <si>
    <t xml:space="preserve">ORD-100168</t>
  </si>
  <si>
    <t xml:space="preserve">ORD-100396</t>
  </si>
  <si>
    <t xml:space="preserve">ORD-100328</t>
  </si>
  <si>
    <t xml:space="preserve">ORD-100082</t>
  </si>
  <si>
    <t xml:space="preserve">ORD-100125</t>
  </si>
  <si>
    <t xml:space="preserve">ORD-100221</t>
  </si>
  <si>
    <t xml:space="preserve">ORD-100134</t>
  </si>
  <si>
    <t xml:space="preserve">ORD-100186</t>
  </si>
  <si>
    <t xml:space="preserve">ORD-100230</t>
  </si>
  <si>
    <t xml:space="preserve">ORD-100257</t>
  </si>
  <si>
    <t xml:space="preserve">ORD-100061</t>
  </si>
  <si>
    <t xml:space="preserve">ORD-100233</t>
  </si>
  <si>
    <t xml:space="preserve">ORD-100087</t>
  </si>
  <si>
    <t xml:space="preserve">ORD-100103</t>
  </si>
  <si>
    <t xml:space="preserve">ORD-100371</t>
  </si>
  <si>
    <t xml:space="preserve">ORD-100029</t>
  </si>
  <si>
    <t xml:space="preserve">ORD-100145</t>
  </si>
  <si>
    <t xml:space="preserve">ORD-100190</t>
  </si>
  <si>
    <t xml:space="preserve">ORD-100228</t>
  </si>
  <si>
    <t xml:space="preserve">ORD-100279</t>
  </si>
  <si>
    <t xml:space="preserve">ORD-100010</t>
  </si>
  <si>
    <t xml:space="preserve">ORD-100055</t>
  </si>
  <si>
    <t xml:space="preserve">ORD-100109</t>
  </si>
  <si>
    <t xml:space="preserve">ORD-100346</t>
  </si>
  <si>
    <t xml:space="preserve">ORD-100173</t>
  </si>
  <si>
    <t xml:space="preserve">ORD-100341</t>
  </si>
  <si>
    <t xml:space="preserve">ORD-100192</t>
  </si>
  <si>
    <t xml:space="preserve">ORD-100311</t>
  </si>
  <si>
    <t xml:space="preserve">ORD-100020</t>
  </si>
  <si>
    <t xml:space="preserve">ORD-100272</t>
  </si>
  <si>
    <t xml:space="preserve">ORD-100260</t>
  </si>
  <si>
    <t xml:space="preserve">ORD-100142</t>
  </si>
  <si>
    <t xml:space="preserve">ORD-100238</t>
  </si>
  <si>
    <t xml:space="preserve">ORD-100355</t>
  </si>
  <si>
    <t xml:space="preserve">ORD-100375</t>
  </si>
  <si>
    <t xml:space="preserve">ORD-100395</t>
  </si>
  <si>
    <t xml:space="preserve">ORD-100267</t>
  </si>
  <si>
    <t xml:space="preserve">ORD-100367</t>
  </si>
  <si>
    <t xml:space="preserve">ORD-100049</t>
  </si>
  <si>
    <t xml:space="preserve">ORD-100002</t>
  </si>
  <si>
    <t xml:space="preserve">ORD-100067</t>
  </si>
  <si>
    <t xml:space="preserve">ORD-100217</t>
  </si>
  <si>
    <t xml:space="preserve">ORD-100274</t>
  </si>
  <si>
    <t xml:space="preserve">ORD-100128</t>
  </si>
  <si>
    <t xml:space="preserve">ORD-100333</t>
  </si>
  <si>
    <t xml:space="preserve">ORD-100044</t>
  </si>
  <si>
    <t xml:space="preserve">ORD-100157</t>
  </si>
  <si>
    <t xml:space="preserve">ORD-100119</t>
  </si>
  <si>
    <t xml:space="preserve">ORD-100084</t>
  </si>
  <si>
    <t xml:space="preserve">ORD-100147</t>
  </si>
  <si>
    <t xml:space="preserve">ORD-100080</t>
  </si>
  <si>
    <t xml:space="preserve">ORD-100271</t>
  </si>
  <si>
    <t xml:space="preserve">ORD-100179</t>
  </si>
  <si>
    <t xml:space="preserve">ORD-100374</t>
  </si>
  <si>
    <t xml:space="preserve">ORD-100057</t>
  </si>
  <si>
    <t xml:space="preserve">ORD-100081</t>
  </si>
  <si>
    <t xml:space="preserve">ORD-100244</t>
  </si>
  <si>
    <t xml:space="preserve">ORD-100153</t>
  </si>
  <si>
    <t xml:space="preserve">ORD-100216</t>
  </si>
  <si>
    <t xml:space="preserve">ORD-100214</t>
  </si>
  <si>
    <t xml:space="preserve">ORD-100032</t>
  </si>
  <si>
    <t xml:space="preserve">ORD-100312</t>
  </si>
  <si>
    <t xml:space="preserve">ORD-100382</t>
  </si>
  <si>
    <t xml:space="preserve">ORD-100054</t>
  </si>
  <si>
    <t xml:space="preserve">ORD-100181</t>
  </si>
  <si>
    <t xml:space="preserve">ORD-100187</t>
  </si>
  <si>
    <t xml:space="preserve">ORD-100124</t>
  </si>
  <si>
    <t xml:space="preserve">ORD-100359</t>
  </si>
  <si>
    <t xml:space="preserve">ORD-100381</t>
  </si>
  <si>
    <t xml:space="preserve">ORD-100327</t>
  </si>
  <si>
    <t xml:space="preserve">ORD-100390</t>
  </si>
  <si>
    <t xml:space="preserve">ORD-100360</t>
  </si>
  <si>
    <t xml:space="preserve">ORD-100304</t>
  </si>
  <si>
    <t xml:space="preserve">ORD-100343</t>
  </si>
  <si>
    <t xml:space="preserve">ORD-100321</t>
  </si>
  <si>
    <t xml:space="preserve">ORD-100201</t>
  </si>
  <si>
    <t xml:space="preserve">ORD-100323</t>
  </si>
  <si>
    <t xml:space="preserve">ORD-100210</t>
  </si>
  <si>
    <t xml:space="preserve">ORD-100292</t>
  </si>
  <si>
    <t xml:space="preserve">ORD-100059</t>
  </si>
  <si>
    <t xml:space="preserve">ORD-100299</t>
  </si>
  <si>
    <t xml:space="preserve">ORD-100237</t>
  </si>
  <si>
    <t xml:space="preserve">ORD-100265</t>
  </si>
  <si>
    <t xml:space="preserve">ORD-100358</t>
  </si>
  <si>
    <t xml:space="preserve">ORD-100335</t>
  </si>
  <si>
    <t xml:space="preserve">ORD-100349</t>
  </si>
  <si>
    <t xml:space="preserve">ORD-100163</t>
  </si>
  <si>
    <t xml:space="preserve">ORD-100093</t>
  </si>
  <si>
    <t xml:space="preserve">ORD-100246</t>
  </si>
  <si>
    <t xml:space="preserve">ORD-100018</t>
  </si>
  <si>
    <t xml:space="preserve">ORD-100278</t>
  </si>
  <si>
    <t xml:space="preserve">ORD-100025</t>
  </si>
  <si>
    <t xml:space="preserve">ORD-100261</t>
  </si>
  <si>
    <t xml:space="preserve">ORD-100393</t>
  </si>
  <si>
    <t xml:space="preserve">ORD-100319</t>
  </si>
  <si>
    <t xml:space="preserve">ORD-100339</t>
  </si>
  <si>
    <t xml:space="preserve">ORD-100354</t>
  </si>
  <si>
    <t xml:space="preserve">ORD-100036</t>
  </si>
  <si>
    <t xml:space="preserve">ORD-100138</t>
  </si>
  <si>
    <t xml:space="preserve">ORD-100198</t>
  </si>
  <si>
    <t xml:space="preserve">ORD-100129</t>
  </si>
  <si>
    <t xml:space="preserve">ORD-100131</t>
  </si>
  <si>
    <t xml:space="preserve">ORD-100132</t>
  </si>
  <si>
    <t xml:space="preserve">ORD-100136</t>
  </si>
  <si>
    <t xml:space="preserve">ORD-100263</t>
  </si>
  <si>
    <t xml:space="preserve">ORD-100016</t>
  </si>
  <si>
    <t xml:space="preserve">ORD-100034</t>
  </si>
  <si>
    <t xml:space="preserve">ORD-100058</t>
  </si>
  <si>
    <t xml:space="preserve">ORD-100126</t>
  </si>
  <si>
    <t xml:space="preserve">ORD-100330</t>
  </si>
  <si>
    <t xml:space="preserve">ORD-100113</t>
  </si>
  <si>
    <t xml:space="preserve">ORD-100121</t>
  </si>
  <si>
    <t xml:space="preserve">ORD-100204</t>
  </si>
  <si>
    <t xml:space="preserve">ORD-100322</t>
  </si>
  <si>
    <t xml:space="preserve">ORD-100316</t>
  </si>
  <si>
    <t xml:space="preserve">ORD-100289</t>
  </si>
  <si>
    <t xml:space="preserve">ORD-100154</t>
  </si>
  <si>
    <t xml:space="preserve">ORD-100180</t>
  </si>
  <si>
    <t xml:space="preserve">ORD-100324</t>
  </si>
  <si>
    <t xml:space="preserve">ORD-100196</t>
  </si>
  <si>
    <t xml:space="preserve">ORD-100345</t>
  </si>
  <si>
    <t xml:space="preserve">ORD-100379</t>
  </si>
  <si>
    <t xml:space="preserve">ORD-100191</t>
  </si>
  <si>
    <t xml:space="preserve">ORD-100005</t>
  </si>
  <si>
    <t xml:space="preserve">ORD-100240</t>
  </si>
  <si>
    <t xml:space="preserve">ORD-100209</t>
  </si>
  <si>
    <t xml:space="preserve">ORD-100338</t>
  </si>
  <si>
    <t xml:space="preserve">ORD-100104</t>
  </si>
  <si>
    <t xml:space="preserve">ORD-100386</t>
  </si>
  <si>
    <t xml:space="preserve">ORD-100171</t>
  </si>
  <si>
    <t xml:space="preserve">ORD-100300</t>
  </si>
  <si>
    <t xml:space="preserve">ORD-100185</t>
  </si>
  <si>
    <t xml:space="preserve">ORD-100193</t>
  </si>
  <si>
    <t xml:space="preserve">ORD-100203</t>
  </si>
  <si>
    <t xml:space="preserve">ORD-100383</t>
  </si>
  <si>
    <t xml:space="preserve">ORD-100027</t>
  </si>
  <si>
    <t xml:space="preserve">ORD-100114</t>
  </si>
  <si>
    <t xml:space="preserve">ORD-100380</t>
  </si>
  <si>
    <t xml:space="preserve">ORD-100111</t>
  </si>
  <si>
    <t xml:space="preserve">ORD-100089</t>
  </si>
  <si>
    <t xml:space="preserve">ORD-100115</t>
  </si>
  <si>
    <t xml:space="preserve">ORD-100011</t>
  </si>
  <si>
    <t xml:space="preserve">ORD-100188</t>
  </si>
  <si>
    <t xml:space="preserve">ORD-100347</t>
  </si>
  <si>
    <t xml:space="preserve">ORD-100106</t>
  </si>
  <si>
    <t xml:space="preserve">ORD-100215</t>
  </si>
  <si>
    <t xml:space="preserve">ORD-100133</t>
  </si>
  <si>
    <t xml:space="preserve">ORD-100251</t>
  </si>
  <si>
    <t xml:space="preserve">ORD-100389</t>
  </si>
  <si>
    <t xml:space="preserve">ORD-100314</t>
  </si>
  <si>
    <t xml:space="preserve">ORD-100270</t>
  </si>
  <si>
    <t xml:space="preserve">ORD-100182</t>
  </si>
  <si>
    <t xml:space="preserve">ORD-100377</t>
  </si>
  <si>
    <t xml:space="preserve">ORD-100100</t>
  </si>
  <si>
    <t xml:space="preserve">ORD-100152</t>
  </si>
  <si>
    <t xml:space="preserve">ORD-100165</t>
  </si>
  <si>
    <t xml:space="preserve">ORD-100037</t>
  </si>
  <si>
    <t xml:space="preserve">ORD-100303</t>
  </si>
  <si>
    <t xml:space="preserve">ORD-100387</t>
  </si>
  <si>
    <t xml:space="preserve">ORD-100088</t>
  </si>
  <si>
    <t xml:space="preserve">ORD-100296</t>
  </si>
  <si>
    <t xml:space="preserve">ORD-100051</t>
  </si>
  <si>
    <t xml:space="preserve">ORD-100097</t>
  </si>
  <si>
    <t xml:space="preserve">ORD-100290</t>
  </si>
  <si>
    <t xml:space="preserve">ORD-100306</t>
  </si>
  <si>
    <t xml:space="preserve">ORD-100264</t>
  </si>
  <si>
    <t xml:space="preserve">ORD-100307</t>
  </si>
  <si>
    <t xml:space="preserve">ORD-100331</t>
  </si>
  <si>
    <t xml:space="preserve">ORD-100363</t>
  </si>
  <si>
    <t xml:space="preserve">ORD-100284</t>
  </si>
  <si>
    <t xml:space="preserve">Sales Performance Dashboard</t>
  </si>
  <si>
    <t xml:space="preserve">Sample dataset (Aug 2025 - Jul 2026) — replace Raw Data sheet with real records</t>
  </si>
  <si>
    <t xml:space="preserve">Filter by Region:</t>
  </si>
  <si>
    <t xml:space="preserve">All</t>
  </si>
  <si>
    <t xml:space="preserve">Total Sales (Rs.)</t>
  </si>
  <si>
    <t xml:space="preserve">Total Orders</t>
  </si>
  <si>
    <t xml:space="preserve">Total Units Sold</t>
  </si>
  <si>
    <t xml:space="preserve">Avg Order Value (Rs.)</t>
  </si>
  <si>
    <t xml:space="preserve">Top Category (by Sales)</t>
  </si>
  <si>
    <t xml:space="preserve">Sales (Rs.)</t>
  </si>
  <si>
    <t xml:space="preserve">Aug-2025</t>
  </si>
  <si>
    <t xml:space="preserve">Sep-2025</t>
  </si>
  <si>
    <t xml:space="preserve">Oct-2025</t>
  </si>
  <si>
    <t xml:space="preserve">Nov-2025</t>
  </si>
  <si>
    <t xml:space="preserve">Dec-2025</t>
  </si>
  <si>
    <t xml:space="preserve">Jan-2026</t>
  </si>
  <si>
    <t xml:space="preserve">Sales Rep Performance</t>
  </si>
  <si>
    <t xml:space="preserve">Customer Segment Split</t>
  </si>
  <si>
    <t xml:space="preserve">Segment</t>
  </si>
  <si>
    <t xml:space="preserve">Jul-2026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</si>
</sst>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m\-yyyy"/>
    <numFmt numFmtId="166" formatCode="#,##0"/>
    <numFmt numFmtId="167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6"/>
      <color rgb="FF1F3864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b val="true"/>
      <sz val="11"/>
      <name val="Calibri"/>
      <family val="0"/>
      <charset val="1"/>
    </font>
    <font>
      <sz val="10"/>
      <color rgb="FF595959"/>
      <name val="Calibri"/>
      <family val="0"/>
      <charset val="1"/>
    </font>
    <font>
      <b val="true"/>
      <sz val="14"/>
      <color rgb="FF1F3864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000"/>
        <bgColor rgb="FFFF9900"/>
      </patternFill>
    </fill>
    <fill>
      <patternFill patternType="solid">
        <fgColor rgb="FFD9E2F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BE4B48"/>
      <rgbColor rgb="FFF9F9F9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0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Dashboard!E10</c:f>
              <c:strCache>
                <c:ptCount val="1"/>
                <c:pt idx="0">
                  <c:v>Sales (Rs.)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Dashboard!$D$11:$D$22</c:f>
              <c:strCache>
                <c:ptCount val="12"/>
                <c:pt idx="0">
                  <c:v>Aug-2025</c:v>
                </c:pt>
                <c:pt idx="1">
                  <c:v>Sep-2025</c:v>
                </c:pt>
                <c:pt idx="2">
                  <c:v>Oct-2025</c:v>
                </c:pt>
                <c:pt idx="3">
                  <c:v>Nov-2025</c:v>
                </c:pt>
                <c:pt idx="4">
                  <c:v>Dec-2025</c:v>
                </c:pt>
                <c:pt idx="5">
                  <c:v>Jan-2026</c:v>
                </c:pt>
                <c:pt idx="6">
                  <c:v>Customer Segment Split</c:v>
                </c:pt>
                <c:pt idx="7">
                  <c:v>Segment</c:v>
                </c:pt>
                <c:pt idx="8">
                  <c:v>Retail</c:v>
                </c:pt>
                <c:pt idx="9">
                  <c:v>Wholesale</c:v>
                </c:pt>
                <c:pt idx="10">
                  <c:v>Online</c:v>
                </c:pt>
                <c:pt idx="11">
                  <c:v>Jul-2026</c:v>
                </c:pt>
              </c:strCache>
            </c:strRef>
          </c:cat>
          <c:val>
            <c:numRef>
              <c:f>Dashboard!$E$11:$E$22</c:f>
              <c:numCache>
                <c:formatCode>#,##0</c:formatCode>
                <c:ptCount val="12"/>
                <c:pt idx="0">
                  <c:v>484985</c:v>
                </c:pt>
                <c:pt idx="1">
                  <c:v>408369</c:v>
                </c:pt>
                <c:pt idx="2">
                  <c:v>502333</c:v>
                </c:pt>
                <c:pt idx="3">
                  <c:v>557482</c:v>
                </c:pt>
                <c:pt idx="4">
                  <c:v>680453</c:v>
                </c:pt>
                <c:pt idx="5">
                  <c:v>454013</c:v>
                </c:pt>
                <c:pt idx="8">
                  <c:v>2921926</c:v>
                </c:pt>
                <c:pt idx="9">
                  <c:v>1261465</c:v>
                </c:pt>
                <c:pt idx="10">
                  <c:v>1921411</c:v>
                </c:pt>
                <c:pt idx="11">
                  <c:v>635619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4895553"/>
        <c:axId val="40913690"/>
      </c:lineChart>
      <c:catAx>
        <c:axId val="148955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13690"/>
        <c:crosses val="autoZero"/>
        <c:auto val="1"/>
        <c:lblAlgn val="ctr"/>
        <c:lblOffset val="100"/>
        <c:noMultiLvlLbl val="0"/>
      </c:catAx>
      <c:valAx>
        <c:axId val="409136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8955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Dashboard!B10</c:f>
              <c:strCache>
                <c:ptCount val="1"/>
                <c:pt idx="0">
                  <c:v>Sales (Rs.)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Dashboard!$A$11:$A$14</c:f>
              <c:strCache>
                <c:ptCount val="4"/>
                <c:pt idx="0">
                  <c:v>Electronics</c:v>
                </c:pt>
                <c:pt idx="1">
                  <c:v>Home Appliances</c:v>
                </c:pt>
                <c:pt idx="2">
                  <c:v>Apparel</c:v>
                </c:pt>
                <c:pt idx="3">
                  <c:v>Furniture</c:v>
                </c:pt>
              </c:strCache>
            </c:strRef>
          </c:cat>
          <c:val>
            <c:numRef>
              <c:f>Dashboard!$B$11:$B$14</c:f>
              <c:numCache>
                <c:formatCode>#,##0</c:formatCode>
                <c:ptCount val="4"/>
                <c:pt idx="0">
                  <c:v>2079436</c:v>
                </c:pt>
                <c:pt idx="1">
                  <c:v>2040062</c:v>
                </c:pt>
                <c:pt idx="2">
                  <c:v>568509</c:v>
                </c:pt>
                <c:pt idx="3">
                  <c:v>1416795</c:v>
                </c:pt>
              </c:numCache>
            </c:numRef>
          </c:val>
        </c:ser>
        <c:gapWidth val="150"/>
        <c:overlap val="0"/>
        <c:axId val="58070837"/>
        <c:axId val="21085974"/>
      </c:barChart>
      <c:catAx>
        <c:axId val="580708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085974"/>
        <c:crosses val="autoZero"/>
        <c:auto val="1"/>
        <c:lblAlgn val="ctr"/>
        <c:lblOffset val="100"/>
        <c:noMultiLvlLbl val="0"/>
      </c:catAx>
      <c:valAx>
        <c:axId val="210859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0708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by Rep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Dashboard!B18</c:f>
              <c:strCache>
                <c:ptCount val="1"/>
                <c:pt idx="0">
                  <c:v>Sales (Rs.)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Dashboard!$A$19:$A$24</c:f>
              <c:strCache>
                <c:ptCount val="6"/>
                <c:pt idx="0">
                  <c:v>A. Sharma</c:v>
                </c:pt>
                <c:pt idx="1">
                  <c:v>P. Verma</c:v>
                </c:pt>
                <c:pt idx="2">
                  <c:v>N. Iyer</c:v>
                </c:pt>
                <c:pt idx="3">
                  <c:v>K. Reddy</c:v>
                </c:pt>
                <c:pt idx="4">
                  <c:v>S. Joshi</c:v>
                </c:pt>
                <c:pt idx="5">
                  <c:v>M. Khan</c:v>
                </c:pt>
              </c:strCache>
            </c:strRef>
          </c:cat>
          <c:val>
            <c:numRef>
              <c:f>Dashboard!$B$19:$B$24</c:f>
              <c:numCache>
                <c:formatCode>#,##0</c:formatCode>
                <c:ptCount val="6"/>
                <c:pt idx="0">
                  <c:v>1043383</c:v>
                </c:pt>
                <c:pt idx="1">
                  <c:v>1176086</c:v>
                </c:pt>
                <c:pt idx="2">
                  <c:v>819065</c:v>
                </c:pt>
                <c:pt idx="3">
                  <c:v>898620</c:v>
                </c:pt>
                <c:pt idx="4">
                  <c:v>1073662</c:v>
                </c:pt>
                <c:pt idx="5">
                  <c:v>1093986</c:v>
                </c:pt>
              </c:numCache>
            </c:numRef>
          </c:val>
        </c:ser>
        <c:gapWidth val="150"/>
        <c:overlap val="0"/>
        <c:axId val="6516883"/>
        <c:axId val="46485490"/>
      </c:barChart>
      <c:catAx>
        <c:axId val="65168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485490"/>
        <c:crosses val="autoZero"/>
        <c:auto val="1"/>
        <c:lblAlgn val="ctr"/>
        <c:lblOffset val="100"/>
        <c:noMultiLvlLbl val="0"/>
      </c:catAx>
      <c:valAx>
        <c:axId val="464854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Sales (Rs.)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168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Sales Share by Customer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Dashboard!E18</c:f>
              <c:strCache>
                <c:ptCount val="1"/>
                <c:pt idx="0">
                  <c:v>Sales (Rs.)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Dashboard!$D$19:$D$21</c:f>
              <c:strCache>
                <c:ptCount val="3"/>
                <c:pt idx="0">
                  <c:v>Retail</c:v>
                </c:pt>
                <c:pt idx="1">
                  <c:v>Wholesale</c:v>
                </c:pt>
                <c:pt idx="2">
                  <c:v>Online</c:v>
                </c:pt>
              </c:strCache>
            </c:strRef>
          </c:cat>
          <c:val>
            <c:numRef>
              <c:f>Dashboard!$E$19:$E$21</c:f>
              <c:numCache>
                <c:formatCode>#,##0</c:formatCode>
                <c:ptCount val="3"/>
                <c:pt idx="0">
                  <c:v>2921926</c:v>
                </c:pt>
                <c:pt idx="1">
                  <c:v>1261465</c:v>
                </c:pt>
                <c:pt idx="2">
                  <c:v>1921411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22</xdr:row>
      <xdr:rowOff>101160</xdr:rowOff>
    </xdr:from>
    <xdr:to>
      <xdr:col>10</xdr:col>
      <xdr:colOff>181800</xdr:colOff>
      <xdr:row>39</xdr:row>
      <xdr:rowOff>102240</xdr:rowOff>
    </xdr:to>
    <xdr:graphicFrame>
      <xdr:nvGraphicFramePr>
        <xdr:cNvPr id="0" name="Chart 1"/>
        <xdr:cNvGraphicFramePr/>
      </xdr:nvGraphicFramePr>
      <xdr:xfrm>
        <a:off x="3806280" y="43815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14</xdr:row>
      <xdr:rowOff>101160</xdr:rowOff>
    </xdr:from>
    <xdr:to>
      <xdr:col>3</xdr:col>
      <xdr:colOff>1233360</xdr:colOff>
      <xdr:row>31</xdr:row>
      <xdr:rowOff>102240</xdr:rowOff>
    </xdr:to>
    <xdr:graphicFrame>
      <xdr:nvGraphicFramePr>
        <xdr:cNvPr id="1" name="Chart 2"/>
        <xdr:cNvGraphicFramePr/>
      </xdr:nvGraphicFramePr>
      <xdr:xfrm>
        <a:off x="0" y="285768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24</xdr:row>
      <xdr:rowOff>100800</xdr:rowOff>
    </xdr:from>
    <xdr:to>
      <xdr:col>3</xdr:col>
      <xdr:colOff>1233360</xdr:colOff>
      <xdr:row>41</xdr:row>
      <xdr:rowOff>101880</xdr:rowOff>
    </xdr:to>
    <xdr:graphicFrame>
      <xdr:nvGraphicFramePr>
        <xdr:cNvPr id="2" name="Chart 3"/>
        <xdr:cNvGraphicFramePr/>
      </xdr:nvGraphicFramePr>
      <xdr:xfrm>
        <a:off x="0" y="476244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21</xdr:row>
      <xdr:rowOff>101160</xdr:rowOff>
    </xdr:from>
    <xdr:to>
      <xdr:col>7</xdr:col>
      <xdr:colOff>1092600</xdr:colOff>
      <xdr:row>38</xdr:row>
      <xdr:rowOff>102240</xdr:rowOff>
    </xdr:to>
    <xdr:graphicFrame>
      <xdr:nvGraphicFramePr>
        <xdr:cNvPr id="3" name="Chart 4"/>
        <xdr:cNvGraphicFramePr/>
      </xdr:nvGraphicFramePr>
      <xdr:xfrm>
        <a:off x="3806280" y="41911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8" min="7" style="0" width="1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0"/>
  </cols>
  <sheetData>
    <row r="1" customFormat="false" ht="28.3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s">
        <v>12</v>
      </c>
      <c r="B2" s="3" t="n">
        <v>45871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n">
        <v>10</v>
      </c>
      <c r="J2" s="4" t="n">
        <v>727</v>
      </c>
      <c r="K2" s="4" t="n">
        <f aca="false">I2*J2</f>
        <v>7270</v>
      </c>
      <c r="L2" s="2" t="str">
        <f aca="false">TEXT(B2,"MMM-YYYY")</f>
        <v>Aug-2025</v>
      </c>
    </row>
    <row r="3" customFormat="false" ht="15" hidden="false" customHeight="false" outlineLevel="0" collapsed="false">
      <c r="A3" s="2" t="s">
        <v>19</v>
      </c>
      <c r="B3" s="3" t="n">
        <v>45872</v>
      </c>
      <c r="C3" s="2" t="s">
        <v>13</v>
      </c>
      <c r="D3" s="2" t="s">
        <v>20</v>
      </c>
      <c r="E3" s="2" t="s">
        <v>21</v>
      </c>
      <c r="F3" s="2" t="s">
        <v>22</v>
      </c>
      <c r="G3" s="2" t="s">
        <v>17</v>
      </c>
      <c r="H3" s="2" t="s">
        <v>23</v>
      </c>
      <c r="I3" s="2" t="n">
        <v>6</v>
      </c>
      <c r="J3" s="4" t="n">
        <v>4996</v>
      </c>
      <c r="K3" s="4" t="n">
        <f aca="false">I3*J3</f>
        <v>29976</v>
      </c>
      <c r="L3" s="2" t="str">
        <f aca="false">TEXT(B3,"MMM-YYYY")</f>
        <v>Aug-2025</v>
      </c>
    </row>
    <row r="4" customFormat="false" ht="15" hidden="false" customHeight="false" outlineLevel="0" collapsed="false">
      <c r="A4" s="2" t="s">
        <v>24</v>
      </c>
      <c r="B4" s="3" t="n">
        <v>45874</v>
      </c>
      <c r="C4" s="2" t="s">
        <v>25</v>
      </c>
      <c r="D4" s="2" t="s">
        <v>14</v>
      </c>
      <c r="E4" s="2" t="s">
        <v>26</v>
      </c>
      <c r="F4" s="2" t="s">
        <v>27</v>
      </c>
      <c r="G4" s="2" t="s">
        <v>17</v>
      </c>
      <c r="H4" s="2" t="s">
        <v>28</v>
      </c>
      <c r="I4" s="2" t="n">
        <v>9</v>
      </c>
      <c r="J4" s="4" t="n">
        <v>869</v>
      </c>
      <c r="K4" s="4" t="n">
        <f aca="false">I4*J4</f>
        <v>7821</v>
      </c>
      <c r="L4" s="2" t="str">
        <f aca="false">TEXT(B4,"MMM-YYYY")</f>
        <v>Aug-2025</v>
      </c>
    </row>
    <row r="5" customFormat="false" ht="15" hidden="false" customHeight="false" outlineLevel="0" collapsed="false">
      <c r="A5" s="2" t="s">
        <v>29</v>
      </c>
      <c r="B5" s="3" t="n">
        <v>45875</v>
      </c>
      <c r="C5" s="2" t="s">
        <v>30</v>
      </c>
      <c r="D5" s="2" t="s">
        <v>14</v>
      </c>
      <c r="E5" s="2" t="s">
        <v>31</v>
      </c>
      <c r="F5" s="2" t="s">
        <v>27</v>
      </c>
      <c r="G5" s="2" t="s">
        <v>32</v>
      </c>
      <c r="H5" s="2" t="s">
        <v>33</v>
      </c>
      <c r="I5" s="2" t="n">
        <v>10</v>
      </c>
      <c r="J5" s="4" t="n">
        <v>1142</v>
      </c>
      <c r="K5" s="4" t="n">
        <f aca="false">I5*J5</f>
        <v>11420</v>
      </c>
      <c r="L5" s="2" t="str">
        <f aca="false">TEXT(B5,"MMM-YYYY")</f>
        <v>Aug-2025</v>
      </c>
    </row>
    <row r="6" customFormat="false" ht="15" hidden="false" customHeight="false" outlineLevel="0" collapsed="false">
      <c r="A6" s="2" t="s">
        <v>34</v>
      </c>
      <c r="B6" s="3" t="n">
        <v>45875</v>
      </c>
      <c r="C6" s="2" t="s">
        <v>13</v>
      </c>
      <c r="D6" s="2" t="s">
        <v>35</v>
      </c>
      <c r="E6" s="2" t="s">
        <v>36</v>
      </c>
      <c r="F6" s="2" t="s">
        <v>22</v>
      </c>
      <c r="G6" s="2" t="s">
        <v>17</v>
      </c>
      <c r="H6" s="2" t="s">
        <v>23</v>
      </c>
      <c r="I6" s="2" t="n">
        <v>3</v>
      </c>
      <c r="J6" s="4" t="n">
        <v>3243</v>
      </c>
      <c r="K6" s="4" t="n">
        <f aca="false">I6*J6</f>
        <v>9729</v>
      </c>
      <c r="L6" s="2" t="str">
        <f aca="false">TEXT(B6,"MMM-YYYY")</f>
        <v>Aug-2025</v>
      </c>
    </row>
    <row r="7" customFormat="false" ht="15" hidden="false" customHeight="false" outlineLevel="0" collapsed="false">
      <c r="A7" s="2" t="s">
        <v>37</v>
      </c>
      <c r="B7" s="3" t="n">
        <v>45875</v>
      </c>
      <c r="C7" s="2" t="s">
        <v>30</v>
      </c>
      <c r="D7" s="2" t="s">
        <v>20</v>
      </c>
      <c r="E7" s="2" t="s">
        <v>21</v>
      </c>
      <c r="F7" s="2" t="s">
        <v>38</v>
      </c>
      <c r="G7" s="2" t="s">
        <v>17</v>
      </c>
      <c r="H7" s="2" t="s">
        <v>23</v>
      </c>
      <c r="I7" s="2" t="n">
        <v>8</v>
      </c>
      <c r="J7" s="4" t="n">
        <v>4639</v>
      </c>
      <c r="K7" s="4" t="n">
        <f aca="false">I7*J7</f>
        <v>37112</v>
      </c>
      <c r="L7" s="2" t="str">
        <f aca="false">TEXT(B7,"MMM-YYYY")</f>
        <v>Aug-2025</v>
      </c>
    </row>
    <row r="8" customFormat="false" ht="15" hidden="false" customHeight="false" outlineLevel="0" collapsed="false">
      <c r="A8" s="2" t="s">
        <v>39</v>
      </c>
      <c r="B8" s="3" t="n">
        <v>45875</v>
      </c>
      <c r="C8" s="2" t="s">
        <v>30</v>
      </c>
      <c r="D8" s="2" t="s">
        <v>14</v>
      </c>
      <c r="E8" s="2" t="s">
        <v>26</v>
      </c>
      <c r="F8" s="2" t="s">
        <v>40</v>
      </c>
      <c r="G8" s="2" t="s">
        <v>41</v>
      </c>
      <c r="H8" s="2" t="s">
        <v>28</v>
      </c>
      <c r="I8" s="2" t="n">
        <v>6</v>
      </c>
      <c r="J8" s="4" t="n">
        <v>847</v>
      </c>
      <c r="K8" s="4" t="n">
        <f aca="false">I8*J8</f>
        <v>5082</v>
      </c>
      <c r="L8" s="2" t="str">
        <f aca="false">TEXT(B8,"MMM-YYYY")</f>
        <v>Aug-2025</v>
      </c>
    </row>
    <row r="9" customFormat="false" ht="15" hidden="false" customHeight="false" outlineLevel="0" collapsed="false">
      <c r="A9" s="2" t="s">
        <v>42</v>
      </c>
      <c r="B9" s="3" t="n">
        <v>45877</v>
      </c>
      <c r="C9" s="2" t="s">
        <v>25</v>
      </c>
      <c r="D9" s="2" t="s">
        <v>20</v>
      </c>
      <c r="E9" s="2" t="s">
        <v>43</v>
      </c>
      <c r="F9" s="2" t="s">
        <v>16</v>
      </c>
      <c r="G9" s="2" t="s">
        <v>17</v>
      </c>
      <c r="H9" s="2" t="s">
        <v>18</v>
      </c>
      <c r="I9" s="2" t="n">
        <v>11</v>
      </c>
      <c r="J9" s="4" t="n">
        <v>4381</v>
      </c>
      <c r="K9" s="4" t="n">
        <f aca="false">I9*J9</f>
        <v>48191</v>
      </c>
      <c r="L9" s="2" t="str">
        <f aca="false">TEXT(B9,"MMM-YYYY")</f>
        <v>Aug-2025</v>
      </c>
    </row>
    <row r="10" customFormat="false" ht="15" hidden="false" customHeight="false" outlineLevel="0" collapsed="false">
      <c r="A10" s="2" t="s">
        <v>44</v>
      </c>
      <c r="B10" s="3" t="n">
        <v>45880</v>
      </c>
      <c r="C10" s="2" t="s">
        <v>30</v>
      </c>
      <c r="D10" s="2" t="s">
        <v>20</v>
      </c>
      <c r="E10" s="2" t="s">
        <v>21</v>
      </c>
      <c r="F10" s="2" t="s">
        <v>27</v>
      </c>
      <c r="G10" s="2" t="s">
        <v>41</v>
      </c>
      <c r="H10" s="2" t="s">
        <v>23</v>
      </c>
      <c r="I10" s="2" t="n">
        <v>7</v>
      </c>
      <c r="J10" s="4" t="n">
        <v>5432</v>
      </c>
      <c r="K10" s="4" t="n">
        <f aca="false">I10*J10</f>
        <v>38024</v>
      </c>
      <c r="L10" s="2" t="str">
        <f aca="false">TEXT(B10,"MMM-YYYY")</f>
        <v>Aug-2025</v>
      </c>
    </row>
    <row r="11" customFormat="false" ht="15" hidden="false" customHeight="false" outlineLevel="0" collapsed="false">
      <c r="A11" s="2" t="s">
        <v>45</v>
      </c>
      <c r="B11" s="3" t="n">
        <v>45880</v>
      </c>
      <c r="C11" s="2" t="s">
        <v>30</v>
      </c>
      <c r="D11" s="2" t="s">
        <v>46</v>
      </c>
      <c r="E11" s="2" t="s">
        <v>47</v>
      </c>
      <c r="F11" s="2" t="s">
        <v>27</v>
      </c>
      <c r="G11" s="2" t="s">
        <v>32</v>
      </c>
      <c r="H11" s="2" t="s">
        <v>28</v>
      </c>
      <c r="I11" s="2" t="n">
        <v>5</v>
      </c>
      <c r="J11" s="4" t="n">
        <v>2229</v>
      </c>
      <c r="K11" s="4" t="n">
        <f aca="false">I11*J11</f>
        <v>11145</v>
      </c>
      <c r="L11" s="2" t="str">
        <f aca="false">TEXT(B11,"MMM-YYYY")</f>
        <v>Aug-2025</v>
      </c>
    </row>
    <row r="12" customFormat="false" ht="15" hidden="false" customHeight="false" outlineLevel="0" collapsed="false">
      <c r="A12" s="2" t="s">
        <v>48</v>
      </c>
      <c r="B12" s="3" t="n">
        <v>45880</v>
      </c>
      <c r="C12" s="2" t="s">
        <v>30</v>
      </c>
      <c r="D12" s="2" t="s">
        <v>20</v>
      </c>
      <c r="E12" s="2" t="s">
        <v>21</v>
      </c>
      <c r="F12" s="2" t="s">
        <v>38</v>
      </c>
      <c r="G12" s="2" t="s">
        <v>17</v>
      </c>
      <c r="H12" s="2" t="s">
        <v>23</v>
      </c>
      <c r="I12" s="2" t="n">
        <v>4</v>
      </c>
      <c r="J12" s="4" t="n">
        <v>3828</v>
      </c>
      <c r="K12" s="4" t="n">
        <f aca="false">I12*J12</f>
        <v>15312</v>
      </c>
      <c r="L12" s="2" t="str">
        <f aca="false">TEXT(B12,"MMM-YYYY")</f>
        <v>Aug-2025</v>
      </c>
    </row>
    <row r="13" customFormat="false" ht="15" hidden="false" customHeight="false" outlineLevel="0" collapsed="false">
      <c r="A13" s="2" t="s">
        <v>49</v>
      </c>
      <c r="B13" s="3" t="n">
        <v>45883</v>
      </c>
      <c r="C13" s="2" t="s">
        <v>25</v>
      </c>
      <c r="D13" s="2" t="s">
        <v>46</v>
      </c>
      <c r="E13" s="2" t="s">
        <v>50</v>
      </c>
      <c r="F13" s="2" t="s">
        <v>40</v>
      </c>
      <c r="G13" s="2" t="s">
        <v>41</v>
      </c>
      <c r="H13" s="2" t="s">
        <v>28</v>
      </c>
      <c r="I13" s="2" t="n">
        <v>3</v>
      </c>
      <c r="J13" s="4" t="n">
        <v>2151</v>
      </c>
      <c r="K13" s="4" t="n">
        <f aca="false">I13*J13</f>
        <v>6453</v>
      </c>
      <c r="L13" s="2" t="str">
        <f aca="false">TEXT(B13,"MMM-YYYY")</f>
        <v>Aug-2025</v>
      </c>
    </row>
    <row r="14" customFormat="false" ht="15" hidden="false" customHeight="false" outlineLevel="0" collapsed="false">
      <c r="A14" s="2" t="s">
        <v>51</v>
      </c>
      <c r="B14" s="3" t="n">
        <v>45885</v>
      </c>
      <c r="C14" s="2" t="s">
        <v>30</v>
      </c>
      <c r="D14" s="2" t="s">
        <v>35</v>
      </c>
      <c r="E14" s="2" t="s">
        <v>52</v>
      </c>
      <c r="F14" s="2" t="s">
        <v>40</v>
      </c>
      <c r="G14" s="2" t="s">
        <v>41</v>
      </c>
      <c r="H14" s="2" t="s">
        <v>23</v>
      </c>
      <c r="I14" s="2" t="n">
        <v>10</v>
      </c>
      <c r="J14" s="4" t="n">
        <v>2518</v>
      </c>
      <c r="K14" s="4" t="n">
        <f aca="false">I14*J14</f>
        <v>25180</v>
      </c>
      <c r="L14" s="2" t="str">
        <f aca="false">TEXT(B14,"MMM-YYYY")</f>
        <v>Aug-2025</v>
      </c>
    </row>
    <row r="15" customFormat="false" ht="15" hidden="false" customHeight="false" outlineLevel="0" collapsed="false">
      <c r="A15" s="2" t="s">
        <v>53</v>
      </c>
      <c r="B15" s="3" t="n">
        <v>45886</v>
      </c>
      <c r="C15" s="2" t="s">
        <v>25</v>
      </c>
      <c r="D15" s="2" t="s">
        <v>46</v>
      </c>
      <c r="E15" s="2" t="s">
        <v>50</v>
      </c>
      <c r="F15" s="2" t="s">
        <v>22</v>
      </c>
      <c r="G15" s="2" t="s">
        <v>17</v>
      </c>
      <c r="H15" s="2" t="s">
        <v>23</v>
      </c>
      <c r="I15" s="2" t="n">
        <v>10</v>
      </c>
      <c r="J15" s="4" t="n">
        <v>2234</v>
      </c>
      <c r="K15" s="4" t="n">
        <f aca="false">I15*J15</f>
        <v>22340</v>
      </c>
      <c r="L15" s="2" t="str">
        <f aca="false">TEXT(B15,"MMM-YYYY")</f>
        <v>Aug-2025</v>
      </c>
    </row>
    <row r="16" customFormat="false" ht="15" hidden="false" customHeight="false" outlineLevel="0" collapsed="false">
      <c r="A16" s="2" t="s">
        <v>54</v>
      </c>
      <c r="B16" s="3" t="n">
        <v>45887</v>
      </c>
      <c r="C16" s="2" t="s">
        <v>30</v>
      </c>
      <c r="D16" s="2" t="s">
        <v>46</v>
      </c>
      <c r="E16" s="2" t="s">
        <v>47</v>
      </c>
      <c r="F16" s="2" t="s">
        <v>38</v>
      </c>
      <c r="G16" s="2" t="s">
        <v>32</v>
      </c>
      <c r="H16" s="2" t="s">
        <v>18</v>
      </c>
      <c r="I16" s="2" t="n">
        <v>3</v>
      </c>
      <c r="J16" s="4" t="n">
        <v>2297</v>
      </c>
      <c r="K16" s="4" t="n">
        <f aca="false">I16*J16</f>
        <v>6891</v>
      </c>
      <c r="L16" s="2" t="str">
        <f aca="false">TEXT(B16,"MMM-YYYY")</f>
        <v>Aug-2025</v>
      </c>
    </row>
    <row r="17" customFormat="false" ht="15" hidden="false" customHeight="false" outlineLevel="0" collapsed="false">
      <c r="A17" s="2" t="s">
        <v>55</v>
      </c>
      <c r="B17" s="3" t="n">
        <v>45887</v>
      </c>
      <c r="C17" s="2" t="s">
        <v>30</v>
      </c>
      <c r="D17" s="2" t="s">
        <v>46</v>
      </c>
      <c r="E17" s="2" t="s">
        <v>56</v>
      </c>
      <c r="F17" s="2" t="s">
        <v>57</v>
      </c>
      <c r="G17" s="2" t="s">
        <v>41</v>
      </c>
      <c r="H17" s="2" t="s">
        <v>18</v>
      </c>
      <c r="I17" s="2" t="n">
        <v>4</v>
      </c>
      <c r="J17" s="4" t="n">
        <v>2057</v>
      </c>
      <c r="K17" s="4" t="n">
        <f aca="false">I17*J17</f>
        <v>8228</v>
      </c>
      <c r="L17" s="2" t="str">
        <f aca="false">TEXT(B17,"MMM-YYYY")</f>
        <v>Aug-2025</v>
      </c>
    </row>
    <row r="18" customFormat="false" ht="15" hidden="false" customHeight="false" outlineLevel="0" collapsed="false">
      <c r="A18" s="2" t="s">
        <v>58</v>
      </c>
      <c r="B18" s="3" t="n">
        <v>45890</v>
      </c>
      <c r="C18" s="2" t="s">
        <v>30</v>
      </c>
      <c r="D18" s="2" t="s">
        <v>14</v>
      </c>
      <c r="E18" s="2" t="s">
        <v>31</v>
      </c>
      <c r="F18" s="2" t="s">
        <v>40</v>
      </c>
      <c r="G18" s="2" t="s">
        <v>32</v>
      </c>
      <c r="H18" s="2" t="s">
        <v>18</v>
      </c>
      <c r="I18" s="2" t="n">
        <v>10</v>
      </c>
      <c r="J18" s="4" t="n">
        <v>765</v>
      </c>
      <c r="K18" s="4" t="n">
        <f aca="false">I18*J18</f>
        <v>7650</v>
      </c>
      <c r="L18" s="2" t="str">
        <f aca="false">TEXT(B18,"MMM-YYYY")</f>
        <v>Aug-2025</v>
      </c>
    </row>
    <row r="19" customFormat="false" ht="15" hidden="false" customHeight="false" outlineLevel="0" collapsed="false">
      <c r="A19" s="2" t="s">
        <v>59</v>
      </c>
      <c r="B19" s="3" t="n">
        <v>45891</v>
      </c>
      <c r="C19" s="2" t="s">
        <v>30</v>
      </c>
      <c r="D19" s="2" t="s">
        <v>46</v>
      </c>
      <c r="E19" s="2" t="s">
        <v>56</v>
      </c>
      <c r="F19" s="2" t="s">
        <v>16</v>
      </c>
      <c r="G19" s="2" t="s">
        <v>41</v>
      </c>
      <c r="H19" s="2" t="s">
        <v>33</v>
      </c>
      <c r="I19" s="2" t="n">
        <v>6</v>
      </c>
      <c r="J19" s="4" t="n">
        <v>2348</v>
      </c>
      <c r="K19" s="4" t="n">
        <f aca="false">I19*J19</f>
        <v>14088</v>
      </c>
      <c r="L19" s="2" t="str">
        <f aca="false">TEXT(B19,"MMM-YYYY")</f>
        <v>Aug-2025</v>
      </c>
    </row>
    <row r="20" customFormat="false" ht="15" hidden="false" customHeight="false" outlineLevel="0" collapsed="false">
      <c r="A20" s="2" t="s">
        <v>60</v>
      </c>
      <c r="B20" s="3" t="n">
        <v>45892</v>
      </c>
      <c r="C20" s="2" t="s">
        <v>61</v>
      </c>
      <c r="D20" s="2" t="s">
        <v>35</v>
      </c>
      <c r="E20" s="2" t="s">
        <v>36</v>
      </c>
      <c r="F20" s="2" t="s">
        <v>27</v>
      </c>
      <c r="G20" s="2" t="s">
        <v>41</v>
      </c>
      <c r="H20" s="2" t="s">
        <v>33</v>
      </c>
      <c r="I20" s="2" t="n">
        <v>2</v>
      </c>
      <c r="J20" s="4" t="n">
        <v>3506</v>
      </c>
      <c r="K20" s="4" t="n">
        <f aca="false">I20*J20</f>
        <v>7012</v>
      </c>
      <c r="L20" s="2" t="str">
        <f aca="false">TEXT(B20,"MMM-YYYY")</f>
        <v>Aug-2025</v>
      </c>
    </row>
    <row r="21" customFormat="false" ht="15" hidden="false" customHeight="false" outlineLevel="0" collapsed="false">
      <c r="A21" s="2" t="s">
        <v>62</v>
      </c>
      <c r="B21" s="3" t="n">
        <v>45893</v>
      </c>
      <c r="C21" s="2" t="s">
        <v>30</v>
      </c>
      <c r="D21" s="2" t="s">
        <v>35</v>
      </c>
      <c r="E21" s="2" t="s">
        <v>52</v>
      </c>
      <c r="F21" s="2" t="s">
        <v>22</v>
      </c>
      <c r="G21" s="2" t="s">
        <v>17</v>
      </c>
      <c r="H21" s="2" t="s">
        <v>33</v>
      </c>
      <c r="I21" s="2" t="n">
        <v>3</v>
      </c>
      <c r="J21" s="4" t="n">
        <v>2998</v>
      </c>
      <c r="K21" s="4" t="n">
        <f aca="false">I21*J21</f>
        <v>8994</v>
      </c>
      <c r="L21" s="2" t="str">
        <f aca="false">TEXT(B21,"MMM-YYYY")</f>
        <v>Aug-2025</v>
      </c>
    </row>
    <row r="22" customFormat="false" ht="15" hidden="false" customHeight="false" outlineLevel="0" collapsed="false">
      <c r="A22" s="2" t="s">
        <v>63</v>
      </c>
      <c r="B22" s="3" t="n">
        <v>45894</v>
      </c>
      <c r="C22" s="2" t="s">
        <v>13</v>
      </c>
      <c r="D22" s="2" t="s">
        <v>46</v>
      </c>
      <c r="E22" s="2" t="s">
        <v>64</v>
      </c>
      <c r="F22" s="2" t="s">
        <v>27</v>
      </c>
      <c r="G22" s="2" t="s">
        <v>32</v>
      </c>
      <c r="H22" s="2" t="s">
        <v>23</v>
      </c>
      <c r="I22" s="2" t="n">
        <v>4</v>
      </c>
      <c r="J22" s="4" t="n">
        <v>2567</v>
      </c>
      <c r="K22" s="4" t="n">
        <f aca="false">I22*J22</f>
        <v>10268</v>
      </c>
      <c r="L22" s="2" t="str">
        <f aca="false">TEXT(B22,"MMM-YYYY")</f>
        <v>Aug-2025</v>
      </c>
    </row>
    <row r="23" customFormat="false" ht="15" hidden="false" customHeight="false" outlineLevel="0" collapsed="false">
      <c r="A23" s="2" t="s">
        <v>65</v>
      </c>
      <c r="B23" s="3" t="n">
        <v>45896</v>
      </c>
      <c r="C23" s="2" t="s">
        <v>61</v>
      </c>
      <c r="D23" s="2" t="s">
        <v>46</v>
      </c>
      <c r="E23" s="2" t="s">
        <v>56</v>
      </c>
      <c r="F23" s="2" t="s">
        <v>57</v>
      </c>
      <c r="G23" s="2" t="s">
        <v>41</v>
      </c>
      <c r="H23" s="2" t="s">
        <v>33</v>
      </c>
      <c r="I23" s="2" t="n">
        <v>9</v>
      </c>
      <c r="J23" s="4" t="n">
        <v>2107</v>
      </c>
      <c r="K23" s="4" t="n">
        <f aca="false">I23*J23</f>
        <v>18963</v>
      </c>
      <c r="L23" s="2" t="str">
        <f aca="false">TEXT(B23,"MMM-YYYY")</f>
        <v>Aug-2025</v>
      </c>
    </row>
    <row r="24" customFormat="false" ht="15" hidden="false" customHeight="false" outlineLevel="0" collapsed="false">
      <c r="A24" s="2" t="s">
        <v>66</v>
      </c>
      <c r="B24" s="3" t="n">
        <v>45899</v>
      </c>
      <c r="C24" s="2" t="s">
        <v>30</v>
      </c>
      <c r="D24" s="2" t="s">
        <v>46</v>
      </c>
      <c r="E24" s="2" t="s">
        <v>50</v>
      </c>
      <c r="F24" s="2" t="s">
        <v>27</v>
      </c>
      <c r="G24" s="2" t="s">
        <v>17</v>
      </c>
      <c r="H24" s="2" t="s">
        <v>18</v>
      </c>
      <c r="I24" s="2" t="n">
        <v>2</v>
      </c>
      <c r="J24" s="4" t="n">
        <v>2248</v>
      </c>
      <c r="K24" s="4" t="n">
        <f aca="false">I24*J24</f>
        <v>4496</v>
      </c>
      <c r="L24" s="2" t="str">
        <f aca="false">TEXT(B24,"MMM-YYYY")</f>
        <v>Aug-2025</v>
      </c>
    </row>
    <row r="25" customFormat="false" ht="15" hidden="false" customHeight="false" outlineLevel="0" collapsed="false">
      <c r="A25" s="2" t="s">
        <v>67</v>
      </c>
      <c r="B25" s="3" t="n">
        <v>45899</v>
      </c>
      <c r="C25" s="2" t="s">
        <v>61</v>
      </c>
      <c r="D25" s="2" t="s">
        <v>46</v>
      </c>
      <c r="E25" s="2" t="s">
        <v>56</v>
      </c>
      <c r="F25" s="2" t="s">
        <v>57</v>
      </c>
      <c r="G25" s="2" t="s">
        <v>17</v>
      </c>
      <c r="H25" s="2" t="s">
        <v>33</v>
      </c>
      <c r="I25" s="2" t="n">
        <v>10</v>
      </c>
      <c r="J25" s="4" t="n">
        <v>1952</v>
      </c>
      <c r="K25" s="4" t="n">
        <f aca="false">I25*J25</f>
        <v>19520</v>
      </c>
      <c r="L25" s="2" t="str">
        <f aca="false">TEXT(B25,"MMM-YYYY")</f>
        <v>Aug-2025</v>
      </c>
    </row>
    <row r="26" customFormat="false" ht="15" hidden="false" customHeight="false" outlineLevel="0" collapsed="false">
      <c r="A26" s="2" t="s">
        <v>68</v>
      </c>
      <c r="B26" s="3" t="n">
        <v>45899</v>
      </c>
      <c r="C26" s="2" t="s">
        <v>30</v>
      </c>
      <c r="D26" s="2" t="s">
        <v>35</v>
      </c>
      <c r="E26" s="2" t="s">
        <v>52</v>
      </c>
      <c r="F26" s="2" t="s">
        <v>57</v>
      </c>
      <c r="G26" s="2" t="s">
        <v>32</v>
      </c>
      <c r="H26" s="2" t="s">
        <v>28</v>
      </c>
      <c r="I26" s="2" t="n">
        <v>11</v>
      </c>
      <c r="J26" s="4" t="n">
        <v>3055</v>
      </c>
      <c r="K26" s="4" t="n">
        <f aca="false">I26*J26</f>
        <v>33605</v>
      </c>
      <c r="L26" s="2" t="str">
        <f aca="false">TEXT(B26,"MMM-YYYY")</f>
        <v>Aug-2025</v>
      </c>
    </row>
    <row r="27" customFormat="false" ht="15" hidden="false" customHeight="false" outlineLevel="0" collapsed="false">
      <c r="A27" s="2" t="s">
        <v>69</v>
      </c>
      <c r="B27" s="3" t="n">
        <v>45899</v>
      </c>
      <c r="C27" s="2" t="s">
        <v>13</v>
      </c>
      <c r="D27" s="2" t="s">
        <v>20</v>
      </c>
      <c r="E27" s="2" t="s">
        <v>70</v>
      </c>
      <c r="F27" s="2" t="s">
        <v>57</v>
      </c>
      <c r="G27" s="2" t="s">
        <v>17</v>
      </c>
      <c r="H27" s="2" t="s">
        <v>18</v>
      </c>
      <c r="I27" s="2" t="n">
        <v>3</v>
      </c>
      <c r="J27" s="4" t="n">
        <v>5126</v>
      </c>
      <c r="K27" s="4" t="n">
        <f aca="false">I27*J27</f>
        <v>15378</v>
      </c>
      <c r="L27" s="2" t="str">
        <f aca="false">TEXT(B27,"MMM-YYYY")</f>
        <v>Aug-2025</v>
      </c>
    </row>
    <row r="28" customFormat="false" ht="15" hidden="false" customHeight="false" outlineLevel="0" collapsed="false">
      <c r="A28" s="2" t="s">
        <v>71</v>
      </c>
      <c r="B28" s="3" t="n">
        <v>45899</v>
      </c>
      <c r="C28" s="2" t="s">
        <v>30</v>
      </c>
      <c r="D28" s="2" t="s">
        <v>35</v>
      </c>
      <c r="E28" s="2" t="s">
        <v>72</v>
      </c>
      <c r="F28" s="2" t="s">
        <v>38</v>
      </c>
      <c r="G28" s="2" t="s">
        <v>41</v>
      </c>
      <c r="H28" s="2" t="s">
        <v>28</v>
      </c>
      <c r="I28" s="2" t="n">
        <v>7</v>
      </c>
      <c r="J28" s="4" t="n">
        <v>2816</v>
      </c>
      <c r="K28" s="4" t="n">
        <f aca="false">I28*J28</f>
        <v>19712</v>
      </c>
      <c r="L28" s="2" t="str">
        <f aca="false">TEXT(B28,"MMM-YYYY")</f>
        <v>Aug-2025</v>
      </c>
    </row>
    <row r="29" customFormat="false" ht="15" hidden="false" customHeight="false" outlineLevel="0" collapsed="false">
      <c r="A29" s="2" t="s">
        <v>73</v>
      </c>
      <c r="B29" s="3" t="n">
        <v>45900</v>
      </c>
      <c r="C29" s="2" t="s">
        <v>61</v>
      </c>
      <c r="D29" s="2" t="s">
        <v>20</v>
      </c>
      <c r="E29" s="2" t="s">
        <v>21</v>
      </c>
      <c r="F29" s="2" t="s">
        <v>16</v>
      </c>
      <c r="G29" s="2" t="s">
        <v>41</v>
      </c>
      <c r="H29" s="2" t="s">
        <v>33</v>
      </c>
      <c r="I29" s="2" t="n">
        <v>1</v>
      </c>
      <c r="J29" s="4" t="n">
        <v>3572</v>
      </c>
      <c r="K29" s="4" t="n">
        <f aca="false">I29*J29</f>
        <v>3572</v>
      </c>
      <c r="L29" s="2" t="str">
        <f aca="false">TEXT(B29,"MMM-YYYY")</f>
        <v>Aug-2025</v>
      </c>
    </row>
    <row r="30" customFormat="false" ht="15" hidden="false" customHeight="false" outlineLevel="0" collapsed="false">
      <c r="A30" s="2" t="s">
        <v>74</v>
      </c>
      <c r="B30" s="3" t="n">
        <v>45900</v>
      </c>
      <c r="C30" s="2" t="s">
        <v>25</v>
      </c>
      <c r="D30" s="2" t="s">
        <v>20</v>
      </c>
      <c r="E30" s="2" t="s">
        <v>75</v>
      </c>
      <c r="F30" s="2" t="s">
        <v>22</v>
      </c>
      <c r="G30" s="2" t="s">
        <v>17</v>
      </c>
      <c r="H30" s="2" t="s">
        <v>23</v>
      </c>
      <c r="I30" s="2" t="n">
        <v>8</v>
      </c>
      <c r="J30" s="4" t="n">
        <v>3620</v>
      </c>
      <c r="K30" s="4" t="n">
        <f aca="false">I30*J30</f>
        <v>28960</v>
      </c>
      <c r="L30" s="2" t="str">
        <f aca="false">TEXT(B30,"MMM-YYYY")</f>
        <v>Aug-2025</v>
      </c>
    </row>
    <row r="31" customFormat="false" ht="15" hidden="false" customHeight="false" outlineLevel="0" collapsed="false">
      <c r="A31" s="2" t="s">
        <v>76</v>
      </c>
      <c r="B31" s="3" t="n">
        <v>45900</v>
      </c>
      <c r="C31" s="2" t="s">
        <v>30</v>
      </c>
      <c r="D31" s="2" t="s">
        <v>35</v>
      </c>
      <c r="E31" s="2" t="s">
        <v>77</v>
      </c>
      <c r="F31" s="2" t="s">
        <v>40</v>
      </c>
      <c r="G31" s="2" t="s">
        <v>32</v>
      </c>
      <c r="H31" s="2" t="s">
        <v>23</v>
      </c>
      <c r="I31" s="2" t="n">
        <v>1</v>
      </c>
      <c r="J31" s="4" t="n">
        <v>2593</v>
      </c>
      <c r="K31" s="4" t="n">
        <f aca="false">I31*J31</f>
        <v>2593</v>
      </c>
      <c r="L31" s="2" t="str">
        <f aca="false">TEXT(B31,"MMM-YYYY")</f>
        <v>Aug-2025</v>
      </c>
    </row>
    <row r="32" customFormat="false" ht="15" hidden="false" customHeight="false" outlineLevel="0" collapsed="false">
      <c r="A32" s="2" t="s">
        <v>78</v>
      </c>
      <c r="B32" s="3" t="n">
        <v>45902</v>
      </c>
      <c r="C32" s="2" t="s">
        <v>61</v>
      </c>
      <c r="D32" s="2" t="s">
        <v>46</v>
      </c>
      <c r="E32" s="2" t="s">
        <v>64</v>
      </c>
      <c r="F32" s="2" t="s">
        <v>16</v>
      </c>
      <c r="G32" s="2" t="s">
        <v>41</v>
      </c>
      <c r="H32" s="2" t="s">
        <v>18</v>
      </c>
      <c r="I32" s="2" t="n">
        <v>5</v>
      </c>
      <c r="J32" s="4" t="n">
        <v>2581</v>
      </c>
      <c r="K32" s="4" t="n">
        <f aca="false">I32*J32</f>
        <v>12905</v>
      </c>
      <c r="L32" s="2" t="str">
        <f aca="false">TEXT(B32,"MMM-YYYY")</f>
        <v>Sep-2025</v>
      </c>
    </row>
    <row r="33" customFormat="false" ht="15" hidden="false" customHeight="false" outlineLevel="0" collapsed="false">
      <c r="A33" s="2" t="s">
        <v>79</v>
      </c>
      <c r="B33" s="3" t="n">
        <v>45902</v>
      </c>
      <c r="C33" s="2" t="s">
        <v>25</v>
      </c>
      <c r="D33" s="2" t="s">
        <v>46</v>
      </c>
      <c r="E33" s="2" t="s">
        <v>50</v>
      </c>
      <c r="F33" s="2" t="s">
        <v>22</v>
      </c>
      <c r="G33" s="2" t="s">
        <v>41</v>
      </c>
      <c r="H33" s="2" t="s">
        <v>33</v>
      </c>
      <c r="I33" s="2" t="n">
        <v>7</v>
      </c>
      <c r="J33" s="4" t="n">
        <v>2338</v>
      </c>
      <c r="K33" s="4" t="n">
        <f aca="false">I33*J33</f>
        <v>16366</v>
      </c>
      <c r="L33" s="2" t="str">
        <f aca="false">TEXT(B33,"MMM-YYYY")</f>
        <v>Sep-2025</v>
      </c>
    </row>
    <row r="34" customFormat="false" ht="15" hidden="false" customHeight="false" outlineLevel="0" collapsed="false">
      <c r="A34" s="2" t="s">
        <v>80</v>
      </c>
      <c r="B34" s="3" t="n">
        <v>45905</v>
      </c>
      <c r="C34" s="2" t="s">
        <v>13</v>
      </c>
      <c r="D34" s="2" t="s">
        <v>46</v>
      </c>
      <c r="E34" s="2" t="s">
        <v>50</v>
      </c>
      <c r="F34" s="2" t="s">
        <v>57</v>
      </c>
      <c r="G34" s="2" t="s">
        <v>17</v>
      </c>
      <c r="H34" s="2" t="s">
        <v>33</v>
      </c>
      <c r="I34" s="2" t="n">
        <v>8</v>
      </c>
      <c r="J34" s="4" t="n">
        <v>2457</v>
      </c>
      <c r="K34" s="4" t="n">
        <f aca="false">I34*J34</f>
        <v>19656</v>
      </c>
      <c r="L34" s="2" t="str">
        <f aca="false">TEXT(B34,"MMM-YYYY")</f>
        <v>Sep-2025</v>
      </c>
    </row>
    <row r="35" customFormat="false" ht="15" hidden="false" customHeight="false" outlineLevel="0" collapsed="false">
      <c r="A35" s="2" t="s">
        <v>81</v>
      </c>
      <c r="B35" s="3" t="n">
        <v>45907</v>
      </c>
      <c r="C35" s="2" t="s">
        <v>13</v>
      </c>
      <c r="D35" s="2" t="s">
        <v>20</v>
      </c>
      <c r="E35" s="2" t="s">
        <v>70</v>
      </c>
      <c r="F35" s="2" t="s">
        <v>38</v>
      </c>
      <c r="G35" s="2" t="s">
        <v>17</v>
      </c>
      <c r="H35" s="2" t="s">
        <v>18</v>
      </c>
      <c r="I35" s="2" t="n">
        <v>4</v>
      </c>
      <c r="J35" s="4" t="n">
        <v>3684</v>
      </c>
      <c r="K35" s="4" t="n">
        <f aca="false">I35*J35</f>
        <v>14736</v>
      </c>
      <c r="L35" s="2" t="str">
        <f aca="false">TEXT(B35,"MMM-YYYY")</f>
        <v>Sep-2025</v>
      </c>
    </row>
    <row r="36" customFormat="false" ht="15" hidden="false" customHeight="false" outlineLevel="0" collapsed="false">
      <c r="A36" s="2" t="s">
        <v>82</v>
      </c>
      <c r="B36" s="3" t="n">
        <v>45909</v>
      </c>
      <c r="C36" s="2" t="s">
        <v>13</v>
      </c>
      <c r="D36" s="2" t="s">
        <v>14</v>
      </c>
      <c r="E36" s="2" t="s">
        <v>15</v>
      </c>
      <c r="F36" s="2" t="s">
        <v>27</v>
      </c>
      <c r="G36" s="2" t="s">
        <v>32</v>
      </c>
      <c r="H36" s="2" t="s">
        <v>23</v>
      </c>
      <c r="I36" s="2" t="n">
        <v>2</v>
      </c>
      <c r="J36" s="4" t="n">
        <v>990</v>
      </c>
      <c r="K36" s="4" t="n">
        <f aca="false">I36*J36</f>
        <v>1980</v>
      </c>
      <c r="L36" s="2" t="str">
        <f aca="false">TEXT(B36,"MMM-YYYY")</f>
        <v>Sep-2025</v>
      </c>
    </row>
    <row r="37" customFormat="false" ht="15" hidden="false" customHeight="false" outlineLevel="0" collapsed="false">
      <c r="A37" s="2" t="s">
        <v>83</v>
      </c>
      <c r="B37" s="3" t="n">
        <v>45910</v>
      </c>
      <c r="C37" s="2" t="s">
        <v>61</v>
      </c>
      <c r="D37" s="2" t="s">
        <v>46</v>
      </c>
      <c r="E37" s="2" t="s">
        <v>56</v>
      </c>
      <c r="F37" s="2" t="s">
        <v>40</v>
      </c>
      <c r="G37" s="2" t="s">
        <v>41</v>
      </c>
      <c r="H37" s="2" t="s">
        <v>33</v>
      </c>
      <c r="I37" s="2" t="n">
        <v>1</v>
      </c>
      <c r="J37" s="4" t="n">
        <v>2103</v>
      </c>
      <c r="K37" s="4" t="n">
        <f aca="false">I37*J37</f>
        <v>2103</v>
      </c>
      <c r="L37" s="2" t="str">
        <f aca="false">TEXT(B37,"MMM-YYYY")</f>
        <v>Sep-2025</v>
      </c>
    </row>
    <row r="38" customFormat="false" ht="15" hidden="false" customHeight="false" outlineLevel="0" collapsed="false">
      <c r="A38" s="2" t="s">
        <v>84</v>
      </c>
      <c r="B38" s="3" t="n">
        <v>45911</v>
      </c>
      <c r="C38" s="2" t="s">
        <v>25</v>
      </c>
      <c r="D38" s="2" t="s">
        <v>35</v>
      </c>
      <c r="E38" s="2" t="s">
        <v>52</v>
      </c>
      <c r="F38" s="2" t="s">
        <v>40</v>
      </c>
      <c r="G38" s="2" t="s">
        <v>17</v>
      </c>
      <c r="H38" s="2" t="s">
        <v>18</v>
      </c>
      <c r="I38" s="2" t="n">
        <v>2</v>
      </c>
      <c r="J38" s="4" t="n">
        <v>2957</v>
      </c>
      <c r="K38" s="4" t="n">
        <f aca="false">I38*J38</f>
        <v>5914</v>
      </c>
      <c r="L38" s="2" t="str">
        <f aca="false">TEXT(B38,"MMM-YYYY")</f>
        <v>Sep-2025</v>
      </c>
    </row>
    <row r="39" customFormat="false" ht="15" hidden="false" customHeight="false" outlineLevel="0" collapsed="false">
      <c r="A39" s="2" t="s">
        <v>85</v>
      </c>
      <c r="B39" s="3" t="n">
        <v>45913</v>
      </c>
      <c r="C39" s="2" t="s">
        <v>30</v>
      </c>
      <c r="D39" s="2" t="s">
        <v>35</v>
      </c>
      <c r="E39" s="2" t="s">
        <v>77</v>
      </c>
      <c r="F39" s="2" t="s">
        <v>57</v>
      </c>
      <c r="G39" s="2" t="s">
        <v>17</v>
      </c>
      <c r="H39" s="2" t="s">
        <v>33</v>
      </c>
      <c r="I39" s="2" t="n">
        <v>8</v>
      </c>
      <c r="J39" s="4" t="n">
        <v>3108</v>
      </c>
      <c r="K39" s="4" t="n">
        <f aca="false">I39*J39</f>
        <v>24864</v>
      </c>
      <c r="L39" s="2" t="str">
        <f aca="false">TEXT(B39,"MMM-YYYY")</f>
        <v>Sep-2025</v>
      </c>
    </row>
    <row r="40" customFormat="false" ht="15" hidden="false" customHeight="false" outlineLevel="0" collapsed="false">
      <c r="A40" s="2" t="s">
        <v>86</v>
      </c>
      <c r="B40" s="3" t="n">
        <v>45916</v>
      </c>
      <c r="C40" s="2" t="s">
        <v>13</v>
      </c>
      <c r="D40" s="2" t="s">
        <v>35</v>
      </c>
      <c r="E40" s="2" t="s">
        <v>72</v>
      </c>
      <c r="F40" s="2" t="s">
        <v>22</v>
      </c>
      <c r="G40" s="2" t="s">
        <v>41</v>
      </c>
      <c r="H40" s="2" t="s">
        <v>33</v>
      </c>
      <c r="I40" s="2" t="n">
        <v>7</v>
      </c>
      <c r="J40" s="4" t="n">
        <v>2819</v>
      </c>
      <c r="K40" s="4" t="n">
        <f aca="false">I40*J40</f>
        <v>19733</v>
      </c>
      <c r="L40" s="2" t="str">
        <f aca="false">TEXT(B40,"MMM-YYYY")</f>
        <v>Sep-2025</v>
      </c>
    </row>
    <row r="41" customFormat="false" ht="15" hidden="false" customHeight="false" outlineLevel="0" collapsed="false">
      <c r="A41" s="2" t="s">
        <v>87</v>
      </c>
      <c r="B41" s="3" t="n">
        <v>45916</v>
      </c>
      <c r="C41" s="2" t="s">
        <v>13</v>
      </c>
      <c r="D41" s="2" t="s">
        <v>20</v>
      </c>
      <c r="E41" s="2" t="s">
        <v>70</v>
      </c>
      <c r="F41" s="2" t="s">
        <v>57</v>
      </c>
      <c r="G41" s="2" t="s">
        <v>17</v>
      </c>
      <c r="H41" s="2" t="s">
        <v>18</v>
      </c>
      <c r="I41" s="2" t="n">
        <v>9</v>
      </c>
      <c r="J41" s="4" t="n">
        <v>3659</v>
      </c>
      <c r="K41" s="4" t="n">
        <f aca="false">I41*J41</f>
        <v>32931</v>
      </c>
      <c r="L41" s="2" t="str">
        <f aca="false">TEXT(B41,"MMM-YYYY")</f>
        <v>Sep-2025</v>
      </c>
    </row>
    <row r="42" customFormat="false" ht="15" hidden="false" customHeight="false" outlineLevel="0" collapsed="false">
      <c r="A42" s="2" t="s">
        <v>88</v>
      </c>
      <c r="B42" s="3" t="n">
        <v>45916</v>
      </c>
      <c r="C42" s="2" t="s">
        <v>13</v>
      </c>
      <c r="D42" s="2" t="s">
        <v>35</v>
      </c>
      <c r="E42" s="2" t="s">
        <v>52</v>
      </c>
      <c r="F42" s="2" t="s">
        <v>27</v>
      </c>
      <c r="G42" s="2" t="s">
        <v>32</v>
      </c>
      <c r="H42" s="2" t="s">
        <v>23</v>
      </c>
      <c r="I42" s="2" t="n">
        <v>11</v>
      </c>
      <c r="J42" s="4" t="n">
        <v>3614</v>
      </c>
      <c r="K42" s="4" t="n">
        <f aca="false">I42*J42</f>
        <v>39754</v>
      </c>
      <c r="L42" s="2" t="str">
        <f aca="false">TEXT(B42,"MMM-YYYY")</f>
        <v>Sep-2025</v>
      </c>
    </row>
    <row r="43" customFormat="false" ht="15" hidden="false" customHeight="false" outlineLevel="0" collapsed="false">
      <c r="A43" s="2" t="s">
        <v>89</v>
      </c>
      <c r="B43" s="3" t="n">
        <v>45916</v>
      </c>
      <c r="C43" s="2" t="s">
        <v>61</v>
      </c>
      <c r="D43" s="2" t="s">
        <v>14</v>
      </c>
      <c r="E43" s="2" t="s">
        <v>15</v>
      </c>
      <c r="F43" s="2" t="s">
        <v>22</v>
      </c>
      <c r="G43" s="2" t="s">
        <v>32</v>
      </c>
      <c r="H43" s="2" t="s">
        <v>23</v>
      </c>
      <c r="I43" s="2" t="n">
        <v>9</v>
      </c>
      <c r="J43" s="4" t="n">
        <v>1070</v>
      </c>
      <c r="K43" s="4" t="n">
        <f aca="false">I43*J43</f>
        <v>9630</v>
      </c>
      <c r="L43" s="2" t="str">
        <f aca="false">TEXT(B43,"MMM-YYYY")</f>
        <v>Sep-2025</v>
      </c>
    </row>
    <row r="44" customFormat="false" ht="15" hidden="false" customHeight="false" outlineLevel="0" collapsed="false">
      <c r="A44" s="2" t="s">
        <v>90</v>
      </c>
      <c r="B44" s="3" t="n">
        <v>45918</v>
      </c>
      <c r="C44" s="2" t="s">
        <v>13</v>
      </c>
      <c r="D44" s="2" t="s">
        <v>35</v>
      </c>
      <c r="E44" s="2" t="s">
        <v>72</v>
      </c>
      <c r="F44" s="2" t="s">
        <v>57</v>
      </c>
      <c r="G44" s="2" t="s">
        <v>41</v>
      </c>
      <c r="H44" s="2" t="s">
        <v>33</v>
      </c>
      <c r="I44" s="2" t="n">
        <v>6</v>
      </c>
      <c r="J44" s="4" t="n">
        <v>2830</v>
      </c>
      <c r="K44" s="4" t="n">
        <f aca="false">I44*J44</f>
        <v>16980</v>
      </c>
      <c r="L44" s="2" t="str">
        <f aca="false">TEXT(B44,"MMM-YYYY")</f>
        <v>Sep-2025</v>
      </c>
    </row>
    <row r="45" customFormat="false" ht="15" hidden="false" customHeight="false" outlineLevel="0" collapsed="false">
      <c r="A45" s="2" t="s">
        <v>91</v>
      </c>
      <c r="B45" s="3" t="n">
        <v>45918</v>
      </c>
      <c r="C45" s="2" t="s">
        <v>13</v>
      </c>
      <c r="D45" s="2" t="s">
        <v>35</v>
      </c>
      <c r="E45" s="2" t="s">
        <v>36</v>
      </c>
      <c r="F45" s="2" t="s">
        <v>38</v>
      </c>
      <c r="G45" s="2" t="s">
        <v>41</v>
      </c>
      <c r="H45" s="2" t="s">
        <v>18</v>
      </c>
      <c r="I45" s="2" t="n">
        <v>6</v>
      </c>
      <c r="J45" s="4" t="n">
        <v>2529</v>
      </c>
      <c r="K45" s="4" t="n">
        <f aca="false">I45*J45</f>
        <v>15174</v>
      </c>
      <c r="L45" s="2" t="str">
        <f aca="false">TEXT(B45,"MMM-YYYY")</f>
        <v>Sep-2025</v>
      </c>
    </row>
    <row r="46" customFormat="false" ht="15" hidden="false" customHeight="false" outlineLevel="0" collapsed="false">
      <c r="A46" s="2" t="s">
        <v>92</v>
      </c>
      <c r="B46" s="3" t="n">
        <v>45920</v>
      </c>
      <c r="C46" s="2" t="s">
        <v>30</v>
      </c>
      <c r="D46" s="2" t="s">
        <v>35</v>
      </c>
      <c r="E46" s="2" t="s">
        <v>72</v>
      </c>
      <c r="F46" s="2" t="s">
        <v>38</v>
      </c>
      <c r="G46" s="2" t="s">
        <v>17</v>
      </c>
      <c r="H46" s="2" t="s">
        <v>18</v>
      </c>
      <c r="I46" s="2" t="n">
        <v>1</v>
      </c>
      <c r="J46" s="4" t="n">
        <v>2992</v>
      </c>
      <c r="K46" s="4" t="n">
        <f aca="false">I46*J46</f>
        <v>2992</v>
      </c>
      <c r="L46" s="2" t="str">
        <f aca="false">TEXT(B46,"MMM-YYYY")</f>
        <v>Sep-2025</v>
      </c>
    </row>
    <row r="47" customFormat="false" ht="15" hidden="false" customHeight="false" outlineLevel="0" collapsed="false">
      <c r="A47" s="2" t="s">
        <v>93</v>
      </c>
      <c r="B47" s="3" t="n">
        <v>45921</v>
      </c>
      <c r="C47" s="2" t="s">
        <v>25</v>
      </c>
      <c r="D47" s="2" t="s">
        <v>20</v>
      </c>
      <c r="E47" s="2" t="s">
        <v>70</v>
      </c>
      <c r="F47" s="2" t="s">
        <v>22</v>
      </c>
      <c r="G47" s="2" t="s">
        <v>41</v>
      </c>
      <c r="H47" s="2" t="s">
        <v>18</v>
      </c>
      <c r="I47" s="2" t="n">
        <v>6</v>
      </c>
      <c r="J47" s="4" t="n">
        <v>5191</v>
      </c>
      <c r="K47" s="4" t="n">
        <f aca="false">I47*J47</f>
        <v>31146</v>
      </c>
      <c r="L47" s="2" t="str">
        <f aca="false">TEXT(B47,"MMM-YYYY")</f>
        <v>Sep-2025</v>
      </c>
    </row>
    <row r="48" customFormat="false" ht="15" hidden="false" customHeight="false" outlineLevel="0" collapsed="false">
      <c r="A48" s="2" t="s">
        <v>94</v>
      </c>
      <c r="B48" s="3" t="n">
        <v>45922</v>
      </c>
      <c r="C48" s="2" t="s">
        <v>30</v>
      </c>
      <c r="D48" s="2" t="s">
        <v>14</v>
      </c>
      <c r="E48" s="2" t="s">
        <v>95</v>
      </c>
      <c r="F48" s="2" t="s">
        <v>38</v>
      </c>
      <c r="G48" s="2" t="s">
        <v>17</v>
      </c>
      <c r="H48" s="2" t="s">
        <v>23</v>
      </c>
      <c r="I48" s="2" t="n">
        <v>5</v>
      </c>
      <c r="J48" s="4" t="n">
        <v>1050</v>
      </c>
      <c r="K48" s="4" t="n">
        <f aca="false">I48*J48</f>
        <v>5250</v>
      </c>
      <c r="L48" s="2" t="str">
        <f aca="false">TEXT(B48,"MMM-YYYY")</f>
        <v>Sep-2025</v>
      </c>
    </row>
    <row r="49" customFormat="false" ht="15" hidden="false" customHeight="false" outlineLevel="0" collapsed="false">
      <c r="A49" s="2" t="s">
        <v>96</v>
      </c>
      <c r="B49" s="3" t="n">
        <v>45923</v>
      </c>
      <c r="C49" s="2" t="s">
        <v>13</v>
      </c>
      <c r="D49" s="2" t="s">
        <v>35</v>
      </c>
      <c r="E49" s="2" t="s">
        <v>72</v>
      </c>
      <c r="F49" s="2" t="s">
        <v>22</v>
      </c>
      <c r="G49" s="2" t="s">
        <v>41</v>
      </c>
      <c r="H49" s="2" t="s">
        <v>33</v>
      </c>
      <c r="I49" s="2" t="n">
        <v>3</v>
      </c>
      <c r="J49" s="4" t="n">
        <v>2394</v>
      </c>
      <c r="K49" s="4" t="n">
        <f aca="false">I49*J49</f>
        <v>7182</v>
      </c>
      <c r="L49" s="2" t="str">
        <f aca="false">TEXT(B49,"MMM-YYYY")</f>
        <v>Sep-2025</v>
      </c>
    </row>
    <row r="50" customFormat="false" ht="15" hidden="false" customHeight="false" outlineLevel="0" collapsed="false">
      <c r="A50" s="2" t="s">
        <v>97</v>
      </c>
      <c r="B50" s="3" t="n">
        <v>45923</v>
      </c>
      <c r="C50" s="2" t="s">
        <v>13</v>
      </c>
      <c r="D50" s="2" t="s">
        <v>35</v>
      </c>
      <c r="E50" s="2" t="s">
        <v>36</v>
      </c>
      <c r="F50" s="2" t="s">
        <v>40</v>
      </c>
      <c r="G50" s="2" t="s">
        <v>17</v>
      </c>
      <c r="H50" s="2" t="s">
        <v>23</v>
      </c>
      <c r="I50" s="2" t="n">
        <v>8</v>
      </c>
      <c r="J50" s="4" t="n">
        <v>2609</v>
      </c>
      <c r="K50" s="4" t="n">
        <f aca="false">I50*J50</f>
        <v>20872</v>
      </c>
      <c r="L50" s="2" t="str">
        <f aca="false">TEXT(B50,"MMM-YYYY")</f>
        <v>Sep-2025</v>
      </c>
    </row>
    <row r="51" customFormat="false" ht="15" hidden="false" customHeight="false" outlineLevel="0" collapsed="false">
      <c r="A51" s="2" t="s">
        <v>98</v>
      </c>
      <c r="B51" s="3" t="n">
        <v>45923</v>
      </c>
      <c r="C51" s="2" t="s">
        <v>25</v>
      </c>
      <c r="D51" s="2" t="s">
        <v>46</v>
      </c>
      <c r="E51" s="2" t="s">
        <v>64</v>
      </c>
      <c r="F51" s="2" t="s">
        <v>22</v>
      </c>
      <c r="G51" s="2" t="s">
        <v>41</v>
      </c>
      <c r="H51" s="2" t="s">
        <v>18</v>
      </c>
      <c r="I51" s="2" t="n">
        <v>8</v>
      </c>
      <c r="J51" s="4" t="n">
        <v>2828</v>
      </c>
      <c r="K51" s="4" t="n">
        <f aca="false">I51*J51</f>
        <v>22624</v>
      </c>
      <c r="L51" s="2" t="str">
        <f aca="false">TEXT(B51,"MMM-YYYY")</f>
        <v>Sep-2025</v>
      </c>
    </row>
    <row r="52" customFormat="false" ht="15" hidden="false" customHeight="false" outlineLevel="0" collapsed="false">
      <c r="A52" s="2" t="s">
        <v>99</v>
      </c>
      <c r="B52" s="3" t="n">
        <v>45924</v>
      </c>
      <c r="C52" s="2" t="s">
        <v>13</v>
      </c>
      <c r="D52" s="2" t="s">
        <v>20</v>
      </c>
      <c r="E52" s="2" t="s">
        <v>70</v>
      </c>
      <c r="F52" s="2" t="s">
        <v>16</v>
      </c>
      <c r="G52" s="2" t="s">
        <v>41</v>
      </c>
      <c r="H52" s="2" t="s">
        <v>33</v>
      </c>
      <c r="I52" s="2" t="n">
        <v>3</v>
      </c>
      <c r="J52" s="4" t="n">
        <v>5309</v>
      </c>
      <c r="K52" s="4" t="n">
        <f aca="false">I52*J52</f>
        <v>15927</v>
      </c>
      <c r="L52" s="2" t="str">
        <f aca="false">TEXT(B52,"MMM-YYYY")</f>
        <v>Sep-2025</v>
      </c>
    </row>
    <row r="53" customFormat="false" ht="15" hidden="false" customHeight="false" outlineLevel="0" collapsed="false">
      <c r="A53" s="2" t="s">
        <v>100</v>
      </c>
      <c r="B53" s="3" t="n">
        <v>45925</v>
      </c>
      <c r="C53" s="2" t="s">
        <v>13</v>
      </c>
      <c r="D53" s="2" t="s">
        <v>20</v>
      </c>
      <c r="E53" s="2" t="s">
        <v>43</v>
      </c>
      <c r="F53" s="2" t="s">
        <v>38</v>
      </c>
      <c r="G53" s="2" t="s">
        <v>17</v>
      </c>
      <c r="H53" s="2" t="s">
        <v>28</v>
      </c>
      <c r="I53" s="2" t="n">
        <v>3</v>
      </c>
      <c r="J53" s="4" t="n">
        <v>4778</v>
      </c>
      <c r="K53" s="4" t="n">
        <f aca="false">I53*J53</f>
        <v>14334</v>
      </c>
      <c r="L53" s="2" t="str">
        <f aca="false">TEXT(B53,"MMM-YYYY")</f>
        <v>Sep-2025</v>
      </c>
    </row>
    <row r="54" customFormat="false" ht="15" hidden="false" customHeight="false" outlineLevel="0" collapsed="false">
      <c r="A54" s="2" t="s">
        <v>101</v>
      </c>
      <c r="B54" s="3" t="n">
        <v>45925</v>
      </c>
      <c r="C54" s="2" t="s">
        <v>30</v>
      </c>
      <c r="D54" s="2" t="s">
        <v>20</v>
      </c>
      <c r="E54" s="2" t="s">
        <v>75</v>
      </c>
      <c r="F54" s="2" t="s">
        <v>57</v>
      </c>
      <c r="G54" s="2" t="s">
        <v>17</v>
      </c>
      <c r="H54" s="2" t="s">
        <v>28</v>
      </c>
      <c r="I54" s="2" t="n">
        <v>2</v>
      </c>
      <c r="J54" s="4" t="n">
        <v>3835</v>
      </c>
      <c r="K54" s="4" t="n">
        <f aca="false">I54*J54</f>
        <v>7670</v>
      </c>
      <c r="L54" s="2" t="str">
        <f aca="false">TEXT(B54,"MMM-YYYY")</f>
        <v>Sep-2025</v>
      </c>
    </row>
    <row r="55" customFormat="false" ht="15" hidden="false" customHeight="false" outlineLevel="0" collapsed="false">
      <c r="A55" s="2" t="s">
        <v>102</v>
      </c>
      <c r="B55" s="3" t="n">
        <v>45926</v>
      </c>
      <c r="C55" s="2" t="s">
        <v>61</v>
      </c>
      <c r="D55" s="2" t="s">
        <v>46</v>
      </c>
      <c r="E55" s="2" t="s">
        <v>56</v>
      </c>
      <c r="F55" s="2" t="s">
        <v>57</v>
      </c>
      <c r="G55" s="2" t="s">
        <v>41</v>
      </c>
      <c r="H55" s="2" t="s">
        <v>28</v>
      </c>
      <c r="I55" s="2" t="n">
        <v>9</v>
      </c>
      <c r="J55" s="4" t="n">
        <v>2595</v>
      </c>
      <c r="K55" s="4" t="n">
        <f aca="false">I55*J55</f>
        <v>23355</v>
      </c>
      <c r="L55" s="2" t="str">
        <f aca="false">TEXT(B55,"MMM-YYYY")</f>
        <v>Sep-2025</v>
      </c>
    </row>
    <row r="56" customFormat="false" ht="15" hidden="false" customHeight="false" outlineLevel="0" collapsed="false">
      <c r="A56" s="2" t="s">
        <v>103</v>
      </c>
      <c r="B56" s="3" t="n">
        <v>45927</v>
      </c>
      <c r="C56" s="2" t="s">
        <v>30</v>
      </c>
      <c r="D56" s="2" t="s">
        <v>20</v>
      </c>
      <c r="E56" s="2" t="s">
        <v>43</v>
      </c>
      <c r="F56" s="2" t="s">
        <v>16</v>
      </c>
      <c r="G56" s="2" t="s">
        <v>17</v>
      </c>
      <c r="H56" s="2" t="s">
        <v>28</v>
      </c>
      <c r="I56" s="2" t="n">
        <v>2</v>
      </c>
      <c r="J56" s="4" t="n">
        <v>4938</v>
      </c>
      <c r="K56" s="4" t="n">
        <f aca="false">I56*J56</f>
        <v>9876</v>
      </c>
      <c r="L56" s="2" t="str">
        <f aca="false">TEXT(B56,"MMM-YYYY")</f>
        <v>Sep-2025</v>
      </c>
    </row>
    <row r="57" customFormat="false" ht="15" hidden="false" customHeight="false" outlineLevel="0" collapsed="false">
      <c r="A57" s="2" t="s">
        <v>104</v>
      </c>
      <c r="B57" s="3" t="n">
        <v>45930</v>
      </c>
      <c r="C57" s="2" t="s">
        <v>61</v>
      </c>
      <c r="D57" s="2" t="s">
        <v>35</v>
      </c>
      <c r="E57" s="2" t="s">
        <v>52</v>
      </c>
      <c r="F57" s="2" t="s">
        <v>22</v>
      </c>
      <c r="G57" s="2" t="s">
        <v>41</v>
      </c>
      <c r="H57" s="2" t="s">
        <v>18</v>
      </c>
      <c r="I57" s="2" t="n">
        <v>5</v>
      </c>
      <c r="J57" s="4" t="n">
        <v>2883</v>
      </c>
      <c r="K57" s="4" t="n">
        <f aca="false">I57*J57</f>
        <v>14415</v>
      </c>
      <c r="L57" s="2" t="str">
        <f aca="false">TEXT(B57,"MMM-YYYY")</f>
        <v>Sep-2025</v>
      </c>
    </row>
    <row r="58" customFormat="false" ht="15" hidden="false" customHeight="false" outlineLevel="0" collapsed="false">
      <c r="A58" s="2" t="s">
        <v>105</v>
      </c>
      <c r="B58" s="3" t="n">
        <v>45931</v>
      </c>
      <c r="C58" s="2" t="s">
        <v>25</v>
      </c>
      <c r="D58" s="2" t="s">
        <v>46</v>
      </c>
      <c r="E58" s="2" t="s">
        <v>64</v>
      </c>
      <c r="F58" s="2" t="s">
        <v>27</v>
      </c>
      <c r="G58" s="2" t="s">
        <v>17</v>
      </c>
      <c r="H58" s="2" t="s">
        <v>18</v>
      </c>
      <c r="I58" s="2" t="n">
        <v>11</v>
      </c>
      <c r="J58" s="4" t="n">
        <v>2317</v>
      </c>
      <c r="K58" s="4" t="n">
        <f aca="false">I58*J58</f>
        <v>25487</v>
      </c>
      <c r="L58" s="2" t="str">
        <f aca="false">TEXT(B58,"MMM-YYYY")</f>
        <v>Oct-2025</v>
      </c>
    </row>
    <row r="59" customFormat="false" ht="15" hidden="false" customHeight="false" outlineLevel="0" collapsed="false">
      <c r="A59" s="2" t="s">
        <v>106</v>
      </c>
      <c r="B59" s="3" t="n">
        <v>45932</v>
      </c>
      <c r="C59" s="2" t="s">
        <v>13</v>
      </c>
      <c r="D59" s="2" t="s">
        <v>46</v>
      </c>
      <c r="E59" s="2" t="s">
        <v>56</v>
      </c>
      <c r="F59" s="2" t="s">
        <v>38</v>
      </c>
      <c r="G59" s="2" t="s">
        <v>17</v>
      </c>
      <c r="H59" s="2" t="s">
        <v>28</v>
      </c>
      <c r="I59" s="2" t="n">
        <v>2</v>
      </c>
      <c r="J59" s="4" t="n">
        <v>2747</v>
      </c>
      <c r="K59" s="4" t="n">
        <f aca="false">I59*J59</f>
        <v>5494</v>
      </c>
      <c r="L59" s="2" t="str">
        <f aca="false">TEXT(B59,"MMM-YYYY")</f>
        <v>Oct-2025</v>
      </c>
    </row>
    <row r="60" customFormat="false" ht="15" hidden="false" customHeight="false" outlineLevel="0" collapsed="false">
      <c r="A60" s="2" t="s">
        <v>107</v>
      </c>
      <c r="B60" s="3" t="n">
        <v>45932</v>
      </c>
      <c r="C60" s="2" t="s">
        <v>13</v>
      </c>
      <c r="D60" s="2" t="s">
        <v>46</v>
      </c>
      <c r="E60" s="2" t="s">
        <v>47</v>
      </c>
      <c r="F60" s="2" t="s">
        <v>16</v>
      </c>
      <c r="G60" s="2" t="s">
        <v>32</v>
      </c>
      <c r="H60" s="2" t="s">
        <v>18</v>
      </c>
      <c r="I60" s="2" t="n">
        <v>9</v>
      </c>
      <c r="J60" s="4" t="n">
        <v>2540</v>
      </c>
      <c r="K60" s="4" t="n">
        <f aca="false">I60*J60</f>
        <v>22860</v>
      </c>
      <c r="L60" s="2" t="str">
        <f aca="false">TEXT(B60,"MMM-YYYY")</f>
        <v>Oct-2025</v>
      </c>
    </row>
    <row r="61" customFormat="false" ht="15" hidden="false" customHeight="false" outlineLevel="0" collapsed="false">
      <c r="A61" s="2" t="s">
        <v>108</v>
      </c>
      <c r="B61" s="3" t="n">
        <v>45932</v>
      </c>
      <c r="C61" s="2" t="s">
        <v>25</v>
      </c>
      <c r="D61" s="2" t="s">
        <v>14</v>
      </c>
      <c r="E61" s="2" t="s">
        <v>15</v>
      </c>
      <c r="F61" s="2" t="s">
        <v>16</v>
      </c>
      <c r="G61" s="2" t="s">
        <v>17</v>
      </c>
      <c r="H61" s="2" t="s">
        <v>33</v>
      </c>
      <c r="I61" s="2" t="n">
        <v>1</v>
      </c>
      <c r="J61" s="4" t="n">
        <v>726</v>
      </c>
      <c r="K61" s="4" t="n">
        <f aca="false">I61*J61</f>
        <v>726</v>
      </c>
      <c r="L61" s="2" t="str">
        <f aca="false">TEXT(B61,"MMM-YYYY")</f>
        <v>Oct-2025</v>
      </c>
    </row>
    <row r="62" customFormat="false" ht="15" hidden="false" customHeight="false" outlineLevel="0" collapsed="false">
      <c r="A62" s="2" t="s">
        <v>109</v>
      </c>
      <c r="B62" s="3" t="n">
        <v>45932</v>
      </c>
      <c r="C62" s="2" t="s">
        <v>13</v>
      </c>
      <c r="D62" s="2" t="s">
        <v>35</v>
      </c>
      <c r="E62" s="2" t="s">
        <v>36</v>
      </c>
      <c r="F62" s="2" t="s">
        <v>16</v>
      </c>
      <c r="G62" s="2" t="s">
        <v>17</v>
      </c>
      <c r="H62" s="2" t="s">
        <v>28</v>
      </c>
      <c r="I62" s="2" t="n">
        <v>11</v>
      </c>
      <c r="J62" s="4" t="n">
        <v>2474</v>
      </c>
      <c r="K62" s="4" t="n">
        <f aca="false">I62*J62</f>
        <v>27214</v>
      </c>
      <c r="L62" s="2" t="str">
        <f aca="false">TEXT(B62,"MMM-YYYY")</f>
        <v>Oct-2025</v>
      </c>
    </row>
    <row r="63" customFormat="false" ht="15" hidden="false" customHeight="false" outlineLevel="0" collapsed="false">
      <c r="A63" s="2" t="s">
        <v>110</v>
      </c>
      <c r="B63" s="3" t="n">
        <v>45933</v>
      </c>
      <c r="C63" s="2" t="s">
        <v>61</v>
      </c>
      <c r="D63" s="2" t="s">
        <v>14</v>
      </c>
      <c r="E63" s="2" t="s">
        <v>15</v>
      </c>
      <c r="F63" s="2" t="s">
        <v>27</v>
      </c>
      <c r="G63" s="2" t="s">
        <v>32</v>
      </c>
      <c r="H63" s="2" t="s">
        <v>18</v>
      </c>
      <c r="I63" s="2" t="n">
        <v>4</v>
      </c>
      <c r="J63" s="4" t="n">
        <v>741</v>
      </c>
      <c r="K63" s="4" t="n">
        <f aca="false">I63*J63</f>
        <v>2964</v>
      </c>
      <c r="L63" s="2" t="str">
        <f aca="false">TEXT(B63,"MMM-YYYY")</f>
        <v>Oct-2025</v>
      </c>
    </row>
    <row r="64" customFormat="false" ht="15" hidden="false" customHeight="false" outlineLevel="0" collapsed="false">
      <c r="A64" s="2" t="s">
        <v>111</v>
      </c>
      <c r="B64" s="3" t="n">
        <v>45933</v>
      </c>
      <c r="C64" s="2" t="s">
        <v>13</v>
      </c>
      <c r="D64" s="2" t="s">
        <v>14</v>
      </c>
      <c r="E64" s="2" t="s">
        <v>31</v>
      </c>
      <c r="F64" s="2" t="s">
        <v>40</v>
      </c>
      <c r="G64" s="2" t="s">
        <v>17</v>
      </c>
      <c r="H64" s="2" t="s">
        <v>33</v>
      </c>
      <c r="I64" s="2" t="n">
        <v>11</v>
      </c>
      <c r="J64" s="4" t="n">
        <v>1075</v>
      </c>
      <c r="K64" s="4" t="n">
        <f aca="false">I64*J64</f>
        <v>11825</v>
      </c>
      <c r="L64" s="2" t="str">
        <f aca="false">TEXT(B64,"MMM-YYYY")</f>
        <v>Oct-2025</v>
      </c>
    </row>
    <row r="65" customFormat="false" ht="15" hidden="false" customHeight="false" outlineLevel="0" collapsed="false">
      <c r="A65" s="2" t="s">
        <v>112</v>
      </c>
      <c r="B65" s="3" t="n">
        <v>45933</v>
      </c>
      <c r="C65" s="2" t="s">
        <v>13</v>
      </c>
      <c r="D65" s="2" t="s">
        <v>20</v>
      </c>
      <c r="E65" s="2" t="s">
        <v>43</v>
      </c>
      <c r="F65" s="2" t="s">
        <v>38</v>
      </c>
      <c r="G65" s="2" t="s">
        <v>17</v>
      </c>
      <c r="H65" s="2" t="s">
        <v>28</v>
      </c>
      <c r="I65" s="2" t="n">
        <v>6</v>
      </c>
      <c r="J65" s="4" t="n">
        <v>3858</v>
      </c>
      <c r="K65" s="4" t="n">
        <f aca="false">I65*J65</f>
        <v>23148</v>
      </c>
      <c r="L65" s="2" t="str">
        <f aca="false">TEXT(B65,"MMM-YYYY")</f>
        <v>Oct-2025</v>
      </c>
    </row>
    <row r="66" customFormat="false" ht="15" hidden="false" customHeight="false" outlineLevel="0" collapsed="false">
      <c r="A66" s="2" t="s">
        <v>113</v>
      </c>
      <c r="B66" s="3" t="n">
        <v>45934</v>
      </c>
      <c r="C66" s="2" t="s">
        <v>61</v>
      </c>
      <c r="D66" s="2" t="s">
        <v>35</v>
      </c>
      <c r="E66" s="2" t="s">
        <v>52</v>
      </c>
      <c r="F66" s="2" t="s">
        <v>38</v>
      </c>
      <c r="G66" s="2" t="s">
        <v>41</v>
      </c>
      <c r="H66" s="2" t="s">
        <v>33</v>
      </c>
      <c r="I66" s="2" t="n">
        <v>11</v>
      </c>
      <c r="J66" s="4" t="n">
        <v>3476</v>
      </c>
      <c r="K66" s="4" t="n">
        <f aca="false">I66*J66</f>
        <v>38236</v>
      </c>
      <c r="L66" s="2" t="str">
        <f aca="false">TEXT(B66,"MMM-YYYY")</f>
        <v>Oct-2025</v>
      </c>
    </row>
    <row r="67" customFormat="false" ht="15" hidden="false" customHeight="false" outlineLevel="0" collapsed="false">
      <c r="A67" s="2" t="s">
        <v>114</v>
      </c>
      <c r="B67" s="3" t="n">
        <v>45935</v>
      </c>
      <c r="C67" s="2" t="s">
        <v>25</v>
      </c>
      <c r="D67" s="2" t="s">
        <v>35</v>
      </c>
      <c r="E67" s="2" t="s">
        <v>72</v>
      </c>
      <c r="F67" s="2" t="s">
        <v>57</v>
      </c>
      <c r="G67" s="2" t="s">
        <v>17</v>
      </c>
      <c r="H67" s="2" t="s">
        <v>23</v>
      </c>
      <c r="I67" s="2" t="n">
        <v>12</v>
      </c>
      <c r="J67" s="4" t="n">
        <v>2807</v>
      </c>
      <c r="K67" s="4" t="n">
        <f aca="false">I67*J67</f>
        <v>33684</v>
      </c>
      <c r="L67" s="2" t="str">
        <f aca="false">TEXT(B67,"MMM-YYYY")</f>
        <v>Oct-2025</v>
      </c>
    </row>
    <row r="68" customFormat="false" ht="15" hidden="false" customHeight="false" outlineLevel="0" collapsed="false">
      <c r="A68" s="2" t="s">
        <v>115</v>
      </c>
      <c r="B68" s="3" t="n">
        <v>45936</v>
      </c>
      <c r="C68" s="2" t="s">
        <v>25</v>
      </c>
      <c r="D68" s="2" t="s">
        <v>46</v>
      </c>
      <c r="E68" s="2" t="s">
        <v>64</v>
      </c>
      <c r="F68" s="2" t="s">
        <v>40</v>
      </c>
      <c r="G68" s="2" t="s">
        <v>17</v>
      </c>
      <c r="H68" s="2" t="s">
        <v>23</v>
      </c>
      <c r="I68" s="2" t="n">
        <v>5</v>
      </c>
      <c r="J68" s="4" t="n">
        <v>2351</v>
      </c>
      <c r="K68" s="4" t="n">
        <f aca="false">I68*J68</f>
        <v>11755</v>
      </c>
      <c r="L68" s="2" t="str">
        <f aca="false">TEXT(B68,"MMM-YYYY")</f>
        <v>Oct-2025</v>
      </c>
    </row>
    <row r="69" customFormat="false" ht="15" hidden="false" customHeight="false" outlineLevel="0" collapsed="false">
      <c r="A69" s="2" t="s">
        <v>116</v>
      </c>
      <c r="B69" s="3" t="n">
        <v>45937</v>
      </c>
      <c r="C69" s="2" t="s">
        <v>61</v>
      </c>
      <c r="D69" s="2" t="s">
        <v>20</v>
      </c>
      <c r="E69" s="2" t="s">
        <v>75</v>
      </c>
      <c r="F69" s="2" t="s">
        <v>16</v>
      </c>
      <c r="G69" s="2" t="s">
        <v>17</v>
      </c>
      <c r="H69" s="2" t="s">
        <v>18</v>
      </c>
      <c r="I69" s="2" t="n">
        <v>12</v>
      </c>
      <c r="J69" s="4" t="n">
        <v>4507</v>
      </c>
      <c r="K69" s="4" t="n">
        <f aca="false">I69*J69</f>
        <v>54084</v>
      </c>
      <c r="L69" s="2" t="str">
        <f aca="false">TEXT(B69,"MMM-YYYY")</f>
        <v>Oct-2025</v>
      </c>
    </row>
    <row r="70" customFormat="false" ht="15" hidden="false" customHeight="false" outlineLevel="0" collapsed="false">
      <c r="A70" s="2" t="s">
        <v>117</v>
      </c>
      <c r="B70" s="3" t="n">
        <v>45937</v>
      </c>
      <c r="C70" s="2" t="s">
        <v>61</v>
      </c>
      <c r="D70" s="2" t="s">
        <v>46</v>
      </c>
      <c r="E70" s="2" t="s">
        <v>64</v>
      </c>
      <c r="F70" s="2" t="s">
        <v>40</v>
      </c>
      <c r="G70" s="2" t="s">
        <v>41</v>
      </c>
      <c r="H70" s="2" t="s">
        <v>28</v>
      </c>
      <c r="I70" s="2" t="n">
        <v>7</v>
      </c>
      <c r="J70" s="4" t="n">
        <v>1788</v>
      </c>
      <c r="K70" s="4" t="n">
        <f aca="false">I70*J70</f>
        <v>12516</v>
      </c>
      <c r="L70" s="2" t="str">
        <f aca="false">TEXT(B70,"MMM-YYYY")</f>
        <v>Oct-2025</v>
      </c>
    </row>
    <row r="71" customFormat="false" ht="15" hidden="false" customHeight="false" outlineLevel="0" collapsed="false">
      <c r="A71" s="2" t="s">
        <v>118</v>
      </c>
      <c r="B71" s="3" t="n">
        <v>45938</v>
      </c>
      <c r="C71" s="2" t="s">
        <v>30</v>
      </c>
      <c r="D71" s="2" t="s">
        <v>46</v>
      </c>
      <c r="E71" s="2" t="s">
        <v>50</v>
      </c>
      <c r="F71" s="2" t="s">
        <v>27</v>
      </c>
      <c r="G71" s="2" t="s">
        <v>17</v>
      </c>
      <c r="H71" s="2" t="s">
        <v>23</v>
      </c>
      <c r="I71" s="2" t="n">
        <v>2</v>
      </c>
      <c r="J71" s="4" t="n">
        <v>2400</v>
      </c>
      <c r="K71" s="4" t="n">
        <f aca="false">I71*J71</f>
        <v>4800</v>
      </c>
      <c r="L71" s="2" t="str">
        <f aca="false">TEXT(B71,"MMM-YYYY")</f>
        <v>Oct-2025</v>
      </c>
    </row>
    <row r="72" customFormat="false" ht="15" hidden="false" customHeight="false" outlineLevel="0" collapsed="false">
      <c r="A72" s="2" t="s">
        <v>119</v>
      </c>
      <c r="B72" s="3" t="n">
        <v>45940</v>
      </c>
      <c r="C72" s="2" t="s">
        <v>61</v>
      </c>
      <c r="D72" s="2" t="s">
        <v>20</v>
      </c>
      <c r="E72" s="2" t="s">
        <v>75</v>
      </c>
      <c r="F72" s="2" t="s">
        <v>40</v>
      </c>
      <c r="G72" s="2" t="s">
        <v>17</v>
      </c>
      <c r="H72" s="2" t="s">
        <v>28</v>
      </c>
      <c r="I72" s="2" t="n">
        <v>11</v>
      </c>
      <c r="J72" s="4" t="n">
        <v>5217</v>
      </c>
      <c r="K72" s="4" t="n">
        <f aca="false">I72*J72</f>
        <v>57387</v>
      </c>
      <c r="L72" s="2" t="str">
        <f aca="false">TEXT(B72,"MMM-YYYY")</f>
        <v>Oct-2025</v>
      </c>
    </row>
    <row r="73" customFormat="false" ht="15" hidden="false" customHeight="false" outlineLevel="0" collapsed="false">
      <c r="A73" s="2" t="s">
        <v>120</v>
      </c>
      <c r="B73" s="3" t="n">
        <v>45940</v>
      </c>
      <c r="C73" s="2" t="s">
        <v>25</v>
      </c>
      <c r="D73" s="2" t="s">
        <v>46</v>
      </c>
      <c r="E73" s="2" t="s">
        <v>47</v>
      </c>
      <c r="F73" s="2" t="s">
        <v>57</v>
      </c>
      <c r="G73" s="2" t="s">
        <v>17</v>
      </c>
      <c r="H73" s="2" t="s">
        <v>23</v>
      </c>
      <c r="I73" s="2" t="n">
        <v>11</v>
      </c>
      <c r="J73" s="4" t="n">
        <v>2338</v>
      </c>
      <c r="K73" s="4" t="n">
        <f aca="false">I73*J73</f>
        <v>25718</v>
      </c>
      <c r="L73" s="2" t="str">
        <f aca="false">TEXT(B73,"MMM-YYYY")</f>
        <v>Oct-2025</v>
      </c>
    </row>
    <row r="74" customFormat="false" ht="15" hidden="false" customHeight="false" outlineLevel="0" collapsed="false">
      <c r="A74" s="2" t="s">
        <v>121</v>
      </c>
      <c r="B74" s="3" t="n">
        <v>45941</v>
      </c>
      <c r="C74" s="2" t="s">
        <v>25</v>
      </c>
      <c r="D74" s="2" t="s">
        <v>35</v>
      </c>
      <c r="E74" s="2" t="s">
        <v>52</v>
      </c>
      <c r="F74" s="2" t="s">
        <v>16</v>
      </c>
      <c r="G74" s="2" t="s">
        <v>17</v>
      </c>
      <c r="H74" s="2" t="s">
        <v>18</v>
      </c>
      <c r="I74" s="2" t="n">
        <v>6</v>
      </c>
      <c r="J74" s="4" t="n">
        <v>2269</v>
      </c>
      <c r="K74" s="4" t="n">
        <f aca="false">I74*J74</f>
        <v>13614</v>
      </c>
      <c r="L74" s="2" t="str">
        <f aca="false">TEXT(B74,"MMM-YYYY")</f>
        <v>Oct-2025</v>
      </c>
    </row>
    <row r="75" customFormat="false" ht="15" hidden="false" customHeight="false" outlineLevel="0" collapsed="false">
      <c r="A75" s="2" t="s">
        <v>122</v>
      </c>
      <c r="B75" s="3" t="n">
        <v>45942</v>
      </c>
      <c r="C75" s="2" t="s">
        <v>25</v>
      </c>
      <c r="D75" s="2" t="s">
        <v>46</v>
      </c>
      <c r="E75" s="2" t="s">
        <v>64</v>
      </c>
      <c r="F75" s="2" t="s">
        <v>57</v>
      </c>
      <c r="G75" s="2" t="s">
        <v>32</v>
      </c>
      <c r="H75" s="2" t="s">
        <v>28</v>
      </c>
      <c r="I75" s="2" t="n">
        <v>2</v>
      </c>
      <c r="J75" s="4" t="n">
        <v>2534</v>
      </c>
      <c r="K75" s="4" t="n">
        <f aca="false">I75*J75</f>
        <v>5068</v>
      </c>
      <c r="L75" s="2" t="str">
        <f aca="false">TEXT(B75,"MMM-YYYY")</f>
        <v>Oct-2025</v>
      </c>
    </row>
    <row r="76" customFormat="false" ht="15" hidden="false" customHeight="false" outlineLevel="0" collapsed="false">
      <c r="A76" s="2" t="s">
        <v>123</v>
      </c>
      <c r="B76" s="3" t="n">
        <v>45943</v>
      </c>
      <c r="C76" s="2" t="s">
        <v>13</v>
      </c>
      <c r="D76" s="2" t="s">
        <v>46</v>
      </c>
      <c r="E76" s="2" t="s">
        <v>50</v>
      </c>
      <c r="F76" s="2" t="s">
        <v>16</v>
      </c>
      <c r="G76" s="2" t="s">
        <v>17</v>
      </c>
      <c r="H76" s="2" t="s">
        <v>23</v>
      </c>
      <c r="I76" s="2" t="n">
        <v>2</v>
      </c>
      <c r="J76" s="4" t="n">
        <v>2404</v>
      </c>
      <c r="K76" s="4" t="n">
        <f aca="false">I76*J76</f>
        <v>4808</v>
      </c>
      <c r="L76" s="2" t="str">
        <f aca="false">TEXT(B76,"MMM-YYYY")</f>
        <v>Oct-2025</v>
      </c>
    </row>
    <row r="77" customFormat="false" ht="15" hidden="false" customHeight="false" outlineLevel="0" collapsed="false">
      <c r="A77" s="2" t="s">
        <v>124</v>
      </c>
      <c r="B77" s="3" t="n">
        <v>45944</v>
      </c>
      <c r="C77" s="2" t="s">
        <v>30</v>
      </c>
      <c r="D77" s="2" t="s">
        <v>46</v>
      </c>
      <c r="E77" s="2" t="s">
        <v>56</v>
      </c>
      <c r="F77" s="2" t="s">
        <v>16</v>
      </c>
      <c r="G77" s="2" t="s">
        <v>41</v>
      </c>
      <c r="H77" s="2" t="s">
        <v>18</v>
      </c>
      <c r="I77" s="2" t="n">
        <v>1</v>
      </c>
      <c r="J77" s="4" t="n">
        <v>1806</v>
      </c>
      <c r="K77" s="4" t="n">
        <f aca="false">I77*J77</f>
        <v>1806</v>
      </c>
      <c r="L77" s="2" t="str">
        <f aca="false">TEXT(B77,"MMM-YYYY")</f>
        <v>Oct-2025</v>
      </c>
    </row>
    <row r="78" customFormat="false" ht="15" hidden="false" customHeight="false" outlineLevel="0" collapsed="false">
      <c r="A78" s="2" t="s">
        <v>125</v>
      </c>
      <c r="B78" s="3" t="n">
        <v>45947</v>
      </c>
      <c r="C78" s="2" t="s">
        <v>13</v>
      </c>
      <c r="D78" s="2" t="s">
        <v>46</v>
      </c>
      <c r="E78" s="2" t="s">
        <v>47</v>
      </c>
      <c r="F78" s="2" t="s">
        <v>57</v>
      </c>
      <c r="G78" s="2" t="s">
        <v>32</v>
      </c>
      <c r="H78" s="2" t="s">
        <v>23</v>
      </c>
      <c r="I78" s="2" t="n">
        <v>3</v>
      </c>
      <c r="J78" s="4" t="n">
        <v>1916</v>
      </c>
      <c r="K78" s="4" t="n">
        <f aca="false">I78*J78</f>
        <v>5748</v>
      </c>
      <c r="L78" s="2" t="str">
        <f aca="false">TEXT(B78,"MMM-YYYY")</f>
        <v>Oct-2025</v>
      </c>
    </row>
    <row r="79" customFormat="false" ht="15" hidden="false" customHeight="false" outlineLevel="0" collapsed="false">
      <c r="A79" s="2" t="s">
        <v>126</v>
      </c>
      <c r="B79" s="3" t="n">
        <v>45949</v>
      </c>
      <c r="C79" s="2" t="s">
        <v>61</v>
      </c>
      <c r="D79" s="2" t="s">
        <v>14</v>
      </c>
      <c r="E79" s="2" t="s">
        <v>31</v>
      </c>
      <c r="F79" s="2" t="s">
        <v>57</v>
      </c>
      <c r="G79" s="2" t="s">
        <v>17</v>
      </c>
      <c r="H79" s="2" t="s">
        <v>23</v>
      </c>
      <c r="I79" s="2" t="n">
        <v>8</v>
      </c>
      <c r="J79" s="4" t="n">
        <v>819</v>
      </c>
      <c r="K79" s="4" t="n">
        <f aca="false">I79*J79</f>
        <v>6552</v>
      </c>
      <c r="L79" s="2" t="str">
        <f aca="false">TEXT(B79,"MMM-YYYY")</f>
        <v>Oct-2025</v>
      </c>
    </row>
    <row r="80" customFormat="false" ht="15" hidden="false" customHeight="false" outlineLevel="0" collapsed="false">
      <c r="A80" s="2" t="s">
        <v>127</v>
      </c>
      <c r="B80" s="3" t="n">
        <v>45949</v>
      </c>
      <c r="C80" s="2" t="s">
        <v>30</v>
      </c>
      <c r="D80" s="2" t="s">
        <v>35</v>
      </c>
      <c r="E80" s="2" t="s">
        <v>52</v>
      </c>
      <c r="F80" s="2" t="s">
        <v>16</v>
      </c>
      <c r="G80" s="2" t="s">
        <v>41</v>
      </c>
      <c r="H80" s="2" t="s">
        <v>28</v>
      </c>
      <c r="I80" s="2" t="n">
        <v>8</v>
      </c>
      <c r="J80" s="4" t="n">
        <v>2393</v>
      </c>
      <c r="K80" s="4" t="n">
        <f aca="false">I80*J80</f>
        <v>19144</v>
      </c>
      <c r="L80" s="2" t="str">
        <f aca="false">TEXT(B80,"MMM-YYYY")</f>
        <v>Oct-2025</v>
      </c>
    </row>
    <row r="81" customFormat="false" ht="15" hidden="false" customHeight="false" outlineLevel="0" collapsed="false">
      <c r="A81" s="2" t="s">
        <v>128</v>
      </c>
      <c r="B81" s="3" t="n">
        <v>45949</v>
      </c>
      <c r="C81" s="2" t="s">
        <v>25</v>
      </c>
      <c r="D81" s="2" t="s">
        <v>35</v>
      </c>
      <c r="E81" s="2" t="s">
        <v>77</v>
      </c>
      <c r="F81" s="2" t="s">
        <v>57</v>
      </c>
      <c r="G81" s="2" t="s">
        <v>17</v>
      </c>
      <c r="H81" s="2" t="s">
        <v>28</v>
      </c>
      <c r="I81" s="2" t="n">
        <v>1</v>
      </c>
      <c r="J81" s="4" t="n">
        <v>2745</v>
      </c>
      <c r="K81" s="4" t="n">
        <f aca="false">I81*J81</f>
        <v>2745</v>
      </c>
      <c r="L81" s="2" t="str">
        <f aca="false">TEXT(B81,"MMM-YYYY")</f>
        <v>Oct-2025</v>
      </c>
    </row>
    <row r="82" customFormat="false" ht="15" hidden="false" customHeight="false" outlineLevel="0" collapsed="false">
      <c r="A82" s="2" t="s">
        <v>129</v>
      </c>
      <c r="B82" s="3" t="n">
        <v>45950</v>
      </c>
      <c r="C82" s="2" t="s">
        <v>61</v>
      </c>
      <c r="D82" s="2" t="s">
        <v>14</v>
      </c>
      <c r="E82" s="2" t="s">
        <v>15</v>
      </c>
      <c r="F82" s="2" t="s">
        <v>57</v>
      </c>
      <c r="G82" s="2" t="s">
        <v>32</v>
      </c>
      <c r="H82" s="2" t="s">
        <v>23</v>
      </c>
      <c r="I82" s="2" t="n">
        <v>3</v>
      </c>
      <c r="J82" s="4" t="n">
        <v>919</v>
      </c>
      <c r="K82" s="4" t="n">
        <f aca="false">I82*J82</f>
        <v>2757</v>
      </c>
      <c r="L82" s="2" t="str">
        <f aca="false">TEXT(B82,"MMM-YYYY")</f>
        <v>Oct-2025</v>
      </c>
    </row>
    <row r="83" customFormat="false" ht="15" hidden="false" customHeight="false" outlineLevel="0" collapsed="false">
      <c r="A83" s="2" t="s">
        <v>130</v>
      </c>
      <c r="B83" s="3" t="n">
        <v>45951</v>
      </c>
      <c r="C83" s="2" t="s">
        <v>61</v>
      </c>
      <c r="D83" s="2" t="s">
        <v>20</v>
      </c>
      <c r="E83" s="2" t="s">
        <v>75</v>
      </c>
      <c r="F83" s="2" t="s">
        <v>22</v>
      </c>
      <c r="G83" s="2" t="s">
        <v>41</v>
      </c>
      <c r="H83" s="2" t="s">
        <v>33</v>
      </c>
      <c r="I83" s="2" t="n">
        <v>5</v>
      </c>
      <c r="J83" s="4" t="n">
        <v>4239</v>
      </c>
      <c r="K83" s="4" t="n">
        <f aca="false">I83*J83</f>
        <v>21195</v>
      </c>
      <c r="L83" s="2" t="str">
        <f aca="false">TEXT(B83,"MMM-YYYY")</f>
        <v>Oct-2025</v>
      </c>
    </row>
    <row r="84" customFormat="false" ht="15" hidden="false" customHeight="false" outlineLevel="0" collapsed="false">
      <c r="A84" s="2" t="s">
        <v>131</v>
      </c>
      <c r="B84" s="3" t="n">
        <v>45952</v>
      </c>
      <c r="C84" s="2" t="s">
        <v>13</v>
      </c>
      <c r="D84" s="2" t="s">
        <v>35</v>
      </c>
      <c r="E84" s="2" t="s">
        <v>52</v>
      </c>
      <c r="F84" s="2" t="s">
        <v>16</v>
      </c>
      <c r="G84" s="2" t="s">
        <v>17</v>
      </c>
      <c r="H84" s="2" t="s">
        <v>18</v>
      </c>
      <c r="I84" s="2" t="n">
        <v>1</v>
      </c>
      <c r="J84" s="4" t="n">
        <v>2255</v>
      </c>
      <c r="K84" s="4" t="n">
        <f aca="false">I84*J84</f>
        <v>2255</v>
      </c>
      <c r="L84" s="2" t="str">
        <f aca="false">TEXT(B84,"MMM-YYYY")</f>
        <v>Oct-2025</v>
      </c>
    </row>
    <row r="85" customFormat="false" ht="15" hidden="false" customHeight="false" outlineLevel="0" collapsed="false">
      <c r="A85" s="2" t="s">
        <v>132</v>
      </c>
      <c r="B85" s="3" t="n">
        <v>45954</v>
      </c>
      <c r="C85" s="2" t="s">
        <v>25</v>
      </c>
      <c r="D85" s="2" t="s">
        <v>46</v>
      </c>
      <c r="E85" s="2" t="s">
        <v>47</v>
      </c>
      <c r="F85" s="2" t="s">
        <v>38</v>
      </c>
      <c r="G85" s="2" t="s">
        <v>17</v>
      </c>
      <c r="H85" s="2" t="s">
        <v>18</v>
      </c>
      <c r="I85" s="2" t="n">
        <v>9</v>
      </c>
      <c r="J85" s="4" t="n">
        <v>2390</v>
      </c>
      <c r="K85" s="4" t="n">
        <f aca="false">I85*J85</f>
        <v>21510</v>
      </c>
      <c r="L85" s="2" t="str">
        <f aca="false">TEXT(B85,"MMM-YYYY")</f>
        <v>Oct-2025</v>
      </c>
    </row>
    <row r="86" customFormat="false" ht="15" hidden="false" customHeight="false" outlineLevel="0" collapsed="false">
      <c r="A86" s="2" t="s">
        <v>133</v>
      </c>
      <c r="B86" s="3" t="n">
        <v>45954</v>
      </c>
      <c r="C86" s="2" t="s">
        <v>25</v>
      </c>
      <c r="D86" s="2" t="s">
        <v>14</v>
      </c>
      <c r="E86" s="2" t="s">
        <v>95</v>
      </c>
      <c r="F86" s="2" t="s">
        <v>22</v>
      </c>
      <c r="G86" s="2" t="s">
        <v>41</v>
      </c>
      <c r="H86" s="2" t="s">
        <v>28</v>
      </c>
      <c r="I86" s="2" t="n">
        <v>3</v>
      </c>
      <c r="J86" s="4" t="n">
        <v>866</v>
      </c>
      <c r="K86" s="4" t="n">
        <f aca="false">I86*J86</f>
        <v>2598</v>
      </c>
      <c r="L86" s="2" t="str">
        <f aca="false">TEXT(B86,"MMM-YYYY")</f>
        <v>Oct-2025</v>
      </c>
    </row>
    <row r="87" customFormat="false" ht="15" hidden="false" customHeight="false" outlineLevel="0" collapsed="false">
      <c r="A87" s="2" t="s">
        <v>134</v>
      </c>
      <c r="B87" s="3" t="n">
        <v>45956</v>
      </c>
      <c r="C87" s="2" t="s">
        <v>61</v>
      </c>
      <c r="D87" s="2" t="s">
        <v>46</v>
      </c>
      <c r="E87" s="2" t="s">
        <v>56</v>
      </c>
      <c r="F87" s="2" t="s">
        <v>57</v>
      </c>
      <c r="G87" s="2" t="s">
        <v>41</v>
      </c>
      <c r="H87" s="2" t="s">
        <v>33</v>
      </c>
      <c r="I87" s="2" t="n">
        <v>3</v>
      </c>
      <c r="J87" s="4" t="n">
        <v>2465</v>
      </c>
      <c r="K87" s="4" t="n">
        <f aca="false">I87*J87</f>
        <v>7395</v>
      </c>
      <c r="L87" s="2" t="str">
        <f aca="false">TEXT(B87,"MMM-YYYY")</f>
        <v>Oct-2025</v>
      </c>
    </row>
    <row r="88" customFormat="false" ht="15" hidden="false" customHeight="false" outlineLevel="0" collapsed="false">
      <c r="A88" s="2" t="s">
        <v>135</v>
      </c>
      <c r="B88" s="3" t="n">
        <v>45957</v>
      </c>
      <c r="C88" s="2" t="s">
        <v>13</v>
      </c>
      <c r="D88" s="2" t="s">
        <v>35</v>
      </c>
      <c r="E88" s="2" t="s">
        <v>52</v>
      </c>
      <c r="F88" s="2" t="s">
        <v>22</v>
      </c>
      <c r="G88" s="2" t="s">
        <v>17</v>
      </c>
      <c r="H88" s="2" t="s">
        <v>33</v>
      </c>
      <c r="I88" s="2" t="n">
        <v>2</v>
      </c>
      <c r="J88" s="4" t="n">
        <v>2928</v>
      </c>
      <c r="K88" s="4" t="n">
        <f aca="false">I88*J88</f>
        <v>5856</v>
      </c>
      <c r="L88" s="2" t="str">
        <f aca="false">TEXT(B88,"MMM-YYYY")</f>
        <v>Oct-2025</v>
      </c>
    </row>
    <row r="89" customFormat="false" ht="15" hidden="false" customHeight="false" outlineLevel="0" collapsed="false">
      <c r="A89" s="2" t="s">
        <v>136</v>
      </c>
      <c r="B89" s="3" t="n">
        <v>45959</v>
      </c>
      <c r="C89" s="2" t="s">
        <v>30</v>
      </c>
      <c r="D89" s="2" t="s">
        <v>46</v>
      </c>
      <c r="E89" s="2" t="s">
        <v>50</v>
      </c>
      <c r="F89" s="2" t="s">
        <v>57</v>
      </c>
      <c r="G89" s="2" t="s">
        <v>32</v>
      </c>
      <c r="H89" s="2" t="s">
        <v>23</v>
      </c>
      <c r="I89" s="2" t="n">
        <v>12</v>
      </c>
      <c r="J89" s="4" t="n">
        <v>1782</v>
      </c>
      <c r="K89" s="4" t="n">
        <f aca="false">I89*J89</f>
        <v>21384</v>
      </c>
      <c r="L89" s="2" t="str">
        <f aca="false">TEXT(B89,"MMM-YYYY")</f>
        <v>Oct-2025</v>
      </c>
    </row>
    <row r="90" customFormat="false" ht="15" hidden="false" customHeight="false" outlineLevel="0" collapsed="false">
      <c r="A90" s="2" t="s">
        <v>137</v>
      </c>
      <c r="B90" s="3" t="n">
        <v>45963</v>
      </c>
      <c r="C90" s="2" t="s">
        <v>30</v>
      </c>
      <c r="D90" s="2" t="s">
        <v>20</v>
      </c>
      <c r="E90" s="2" t="s">
        <v>75</v>
      </c>
      <c r="F90" s="2" t="s">
        <v>40</v>
      </c>
      <c r="G90" s="2" t="s">
        <v>41</v>
      </c>
      <c r="H90" s="2" t="s">
        <v>23</v>
      </c>
      <c r="I90" s="2" t="n">
        <v>6</v>
      </c>
      <c r="J90" s="4" t="n">
        <v>5169</v>
      </c>
      <c r="K90" s="4" t="n">
        <f aca="false">I90*J90</f>
        <v>31014</v>
      </c>
      <c r="L90" s="2" t="str">
        <f aca="false">TEXT(B90,"MMM-YYYY")</f>
        <v>Nov-2025</v>
      </c>
    </row>
    <row r="91" customFormat="false" ht="15" hidden="false" customHeight="false" outlineLevel="0" collapsed="false">
      <c r="A91" s="2" t="s">
        <v>138</v>
      </c>
      <c r="B91" s="3" t="n">
        <v>45963</v>
      </c>
      <c r="C91" s="2" t="s">
        <v>13</v>
      </c>
      <c r="D91" s="2" t="s">
        <v>46</v>
      </c>
      <c r="E91" s="2" t="s">
        <v>56</v>
      </c>
      <c r="F91" s="2" t="s">
        <v>40</v>
      </c>
      <c r="G91" s="2" t="s">
        <v>17</v>
      </c>
      <c r="H91" s="2" t="s">
        <v>18</v>
      </c>
      <c r="I91" s="2" t="n">
        <v>5</v>
      </c>
      <c r="J91" s="4" t="n">
        <v>2795</v>
      </c>
      <c r="K91" s="4" t="n">
        <f aca="false">I91*J91</f>
        <v>13975</v>
      </c>
      <c r="L91" s="2" t="str">
        <f aca="false">TEXT(B91,"MMM-YYYY")</f>
        <v>Nov-2025</v>
      </c>
    </row>
    <row r="92" customFormat="false" ht="15" hidden="false" customHeight="false" outlineLevel="0" collapsed="false">
      <c r="A92" s="2" t="s">
        <v>139</v>
      </c>
      <c r="B92" s="3" t="n">
        <v>45964</v>
      </c>
      <c r="C92" s="2" t="s">
        <v>61</v>
      </c>
      <c r="D92" s="2" t="s">
        <v>35</v>
      </c>
      <c r="E92" s="2" t="s">
        <v>52</v>
      </c>
      <c r="F92" s="2" t="s">
        <v>27</v>
      </c>
      <c r="G92" s="2" t="s">
        <v>41</v>
      </c>
      <c r="H92" s="2" t="s">
        <v>28</v>
      </c>
      <c r="I92" s="2" t="n">
        <v>4</v>
      </c>
      <c r="J92" s="4" t="n">
        <v>3554</v>
      </c>
      <c r="K92" s="4" t="n">
        <f aca="false">I92*J92</f>
        <v>14216</v>
      </c>
      <c r="L92" s="2" t="str">
        <f aca="false">TEXT(B92,"MMM-YYYY")</f>
        <v>Nov-2025</v>
      </c>
    </row>
    <row r="93" customFormat="false" ht="15" hidden="false" customHeight="false" outlineLevel="0" collapsed="false">
      <c r="A93" s="2" t="s">
        <v>140</v>
      </c>
      <c r="B93" s="3" t="n">
        <v>45967</v>
      </c>
      <c r="C93" s="2" t="s">
        <v>25</v>
      </c>
      <c r="D93" s="2" t="s">
        <v>14</v>
      </c>
      <c r="E93" s="2" t="s">
        <v>95</v>
      </c>
      <c r="F93" s="2" t="s">
        <v>22</v>
      </c>
      <c r="G93" s="2" t="s">
        <v>17</v>
      </c>
      <c r="H93" s="2" t="s">
        <v>23</v>
      </c>
      <c r="I93" s="2" t="n">
        <v>8</v>
      </c>
      <c r="J93" s="4" t="n">
        <v>991</v>
      </c>
      <c r="K93" s="4" t="n">
        <f aca="false">I93*J93</f>
        <v>7928</v>
      </c>
      <c r="L93" s="2" t="str">
        <f aca="false">TEXT(B93,"MMM-YYYY")</f>
        <v>Nov-2025</v>
      </c>
    </row>
    <row r="94" customFormat="false" ht="15" hidden="false" customHeight="false" outlineLevel="0" collapsed="false">
      <c r="A94" s="2" t="s">
        <v>141</v>
      </c>
      <c r="B94" s="3" t="n">
        <v>45968</v>
      </c>
      <c r="C94" s="2" t="s">
        <v>30</v>
      </c>
      <c r="D94" s="2" t="s">
        <v>35</v>
      </c>
      <c r="E94" s="2" t="s">
        <v>36</v>
      </c>
      <c r="F94" s="2" t="s">
        <v>40</v>
      </c>
      <c r="G94" s="2" t="s">
        <v>41</v>
      </c>
      <c r="H94" s="2" t="s">
        <v>18</v>
      </c>
      <c r="I94" s="2" t="n">
        <v>7</v>
      </c>
      <c r="J94" s="4" t="n">
        <v>3079</v>
      </c>
      <c r="K94" s="4" t="n">
        <f aca="false">I94*J94</f>
        <v>21553</v>
      </c>
      <c r="L94" s="2" t="str">
        <f aca="false">TEXT(B94,"MMM-YYYY")</f>
        <v>Nov-2025</v>
      </c>
    </row>
    <row r="95" customFormat="false" ht="15" hidden="false" customHeight="false" outlineLevel="0" collapsed="false">
      <c r="A95" s="2" t="s">
        <v>142</v>
      </c>
      <c r="B95" s="3" t="n">
        <v>45969</v>
      </c>
      <c r="C95" s="2" t="s">
        <v>61</v>
      </c>
      <c r="D95" s="2" t="s">
        <v>46</v>
      </c>
      <c r="E95" s="2" t="s">
        <v>64</v>
      </c>
      <c r="F95" s="2" t="s">
        <v>57</v>
      </c>
      <c r="G95" s="2" t="s">
        <v>17</v>
      </c>
      <c r="H95" s="2" t="s">
        <v>23</v>
      </c>
      <c r="I95" s="2" t="n">
        <v>10</v>
      </c>
      <c r="J95" s="4" t="n">
        <v>2119</v>
      </c>
      <c r="K95" s="4" t="n">
        <f aca="false">I95*J95</f>
        <v>21190</v>
      </c>
      <c r="L95" s="2" t="str">
        <f aca="false">TEXT(B95,"MMM-YYYY")</f>
        <v>Nov-2025</v>
      </c>
    </row>
    <row r="96" customFormat="false" ht="15" hidden="false" customHeight="false" outlineLevel="0" collapsed="false">
      <c r="A96" s="2" t="s">
        <v>143</v>
      </c>
      <c r="B96" s="3" t="n">
        <v>45969</v>
      </c>
      <c r="C96" s="2" t="s">
        <v>30</v>
      </c>
      <c r="D96" s="2" t="s">
        <v>46</v>
      </c>
      <c r="E96" s="2" t="s">
        <v>64</v>
      </c>
      <c r="F96" s="2" t="s">
        <v>22</v>
      </c>
      <c r="G96" s="2" t="s">
        <v>41</v>
      </c>
      <c r="H96" s="2" t="s">
        <v>33</v>
      </c>
      <c r="I96" s="2" t="n">
        <v>10</v>
      </c>
      <c r="J96" s="4" t="n">
        <v>1966</v>
      </c>
      <c r="K96" s="4" t="n">
        <f aca="false">I96*J96</f>
        <v>19660</v>
      </c>
      <c r="L96" s="2" t="str">
        <f aca="false">TEXT(B96,"MMM-YYYY")</f>
        <v>Nov-2025</v>
      </c>
    </row>
    <row r="97" customFormat="false" ht="15" hidden="false" customHeight="false" outlineLevel="0" collapsed="false">
      <c r="A97" s="2" t="s">
        <v>144</v>
      </c>
      <c r="B97" s="3" t="n">
        <v>45971</v>
      </c>
      <c r="C97" s="2" t="s">
        <v>30</v>
      </c>
      <c r="D97" s="2" t="s">
        <v>46</v>
      </c>
      <c r="E97" s="2" t="s">
        <v>50</v>
      </c>
      <c r="F97" s="2" t="s">
        <v>57</v>
      </c>
      <c r="G97" s="2" t="s">
        <v>17</v>
      </c>
      <c r="H97" s="2" t="s">
        <v>23</v>
      </c>
      <c r="I97" s="2" t="n">
        <v>5</v>
      </c>
      <c r="J97" s="4" t="n">
        <v>2602</v>
      </c>
      <c r="K97" s="4" t="n">
        <f aca="false">I97*J97</f>
        <v>13010</v>
      </c>
      <c r="L97" s="2" t="str">
        <f aca="false">TEXT(B97,"MMM-YYYY")</f>
        <v>Nov-2025</v>
      </c>
    </row>
    <row r="98" customFormat="false" ht="15" hidden="false" customHeight="false" outlineLevel="0" collapsed="false">
      <c r="A98" s="2" t="s">
        <v>145</v>
      </c>
      <c r="B98" s="3" t="n">
        <v>45972</v>
      </c>
      <c r="C98" s="2" t="s">
        <v>13</v>
      </c>
      <c r="D98" s="2" t="s">
        <v>46</v>
      </c>
      <c r="E98" s="2" t="s">
        <v>47</v>
      </c>
      <c r="F98" s="2" t="s">
        <v>27</v>
      </c>
      <c r="G98" s="2" t="s">
        <v>17</v>
      </c>
      <c r="H98" s="2" t="s">
        <v>33</v>
      </c>
      <c r="I98" s="2" t="n">
        <v>9</v>
      </c>
      <c r="J98" s="4" t="n">
        <v>1778</v>
      </c>
      <c r="K98" s="4" t="n">
        <f aca="false">I98*J98</f>
        <v>16002</v>
      </c>
      <c r="L98" s="2" t="str">
        <f aca="false">TEXT(B98,"MMM-YYYY")</f>
        <v>Nov-2025</v>
      </c>
    </row>
    <row r="99" customFormat="false" ht="15" hidden="false" customHeight="false" outlineLevel="0" collapsed="false">
      <c r="A99" s="2" t="s">
        <v>146</v>
      </c>
      <c r="B99" s="3" t="n">
        <v>45973</v>
      </c>
      <c r="C99" s="2" t="s">
        <v>13</v>
      </c>
      <c r="D99" s="2" t="s">
        <v>46</v>
      </c>
      <c r="E99" s="2" t="s">
        <v>64</v>
      </c>
      <c r="F99" s="2" t="s">
        <v>40</v>
      </c>
      <c r="G99" s="2" t="s">
        <v>17</v>
      </c>
      <c r="H99" s="2" t="s">
        <v>28</v>
      </c>
      <c r="I99" s="2" t="n">
        <v>12</v>
      </c>
      <c r="J99" s="4" t="n">
        <v>2298</v>
      </c>
      <c r="K99" s="4" t="n">
        <f aca="false">I99*J99</f>
        <v>27576</v>
      </c>
      <c r="L99" s="2" t="str">
        <f aca="false">TEXT(B99,"MMM-YYYY")</f>
        <v>Nov-2025</v>
      </c>
    </row>
    <row r="100" customFormat="false" ht="15" hidden="false" customHeight="false" outlineLevel="0" collapsed="false">
      <c r="A100" s="2" t="s">
        <v>147</v>
      </c>
      <c r="B100" s="3" t="n">
        <v>45974</v>
      </c>
      <c r="C100" s="2" t="s">
        <v>25</v>
      </c>
      <c r="D100" s="2" t="s">
        <v>14</v>
      </c>
      <c r="E100" s="2" t="s">
        <v>31</v>
      </c>
      <c r="F100" s="2" t="s">
        <v>57</v>
      </c>
      <c r="G100" s="2" t="s">
        <v>17</v>
      </c>
      <c r="H100" s="2" t="s">
        <v>28</v>
      </c>
      <c r="I100" s="2" t="n">
        <v>3</v>
      </c>
      <c r="J100" s="4" t="n">
        <v>984</v>
      </c>
      <c r="K100" s="4" t="n">
        <f aca="false">I100*J100</f>
        <v>2952</v>
      </c>
      <c r="L100" s="2" t="str">
        <f aca="false">TEXT(B100,"MMM-YYYY")</f>
        <v>Nov-2025</v>
      </c>
    </row>
    <row r="101" customFormat="false" ht="15" hidden="false" customHeight="false" outlineLevel="0" collapsed="false">
      <c r="A101" s="2" t="s">
        <v>148</v>
      </c>
      <c r="B101" s="3" t="n">
        <v>45975</v>
      </c>
      <c r="C101" s="2" t="s">
        <v>30</v>
      </c>
      <c r="D101" s="2" t="s">
        <v>20</v>
      </c>
      <c r="E101" s="2" t="s">
        <v>75</v>
      </c>
      <c r="F101" s="2" t="s">
        <v>57</v>
      </c>
      <c r="G101" s="2" t="s">
        <v>17</v>
      </c>
      <c r="H101" s="2" t="s">
        <v>28</v>
      </c>
      <c r="I101" s="2" t="n">
        <v>8</v>
      </c>
      <c r="J101" s="4" t="n">
        <v>5382</v>
      </c>
      <c r="K101" s="4" t="n">
        <f aca="false">I101*J101</f>
        <v>43056</v>
      </c>
      <c r="L101" s="2" t="str">
        <f aca="false">TEXT(B101,"MMM-YYYY")</f>
        <v>Nov-2025</v>
      </c>
    </row>
    <row r="102" customFormat="false" ht="15" hidden="false" customHeight="false" outlineLevel="0" collapsed="false">
      <c r="A102" s="2" t="s">
        <v>149</v>
      </c>
      <c r="B102" s="3" t="n">
        <v>45976</v>
      </c>
      <c r="C102" s="2" t="s">
        <v>25</v>
      </c>
      <c r="D102" s="2" t="s">
        <v>46</v>
      </c>
      <c r="E102" s="2" t="s">
        <v>64</v>
      </c>
      <c r="F102" s="2" t="s">
        <v>16</v>
      </c>
      <c r="G102" s="2" t="s">
        <v>32</v>
      </c>
      <c r="H102" s="2" t="s">
        <v>33</v>
      </c>
      <c r="I102" s="2" t="n">
        <v>2</v>
      </c>
      <c r="J102" s="4" t="n">
        <v>1887</v>
      </c>
      <c r="K102" s="4" t="n">
        <f aca="false">I102*J102</f>
        <v>3774</v>
      </c>
      <c r="L102" s="2" t="str">
        <f aca="false">TEXT(B102,"MMM-YYYY")</f>
        <v>Nov-2025</v>
      </c>
    </row>
    <row r="103" customFormat="false" ht="15" hidden="false" customHeight="false" outlineLevel="0" collapsed="false">
      <c r="A103" s="2" t="s">
        <v>150</v>
      </c>
      <c r="B103" s="3" t="n">
        <v>45977</v>
      </c>
      <c r="C103" s="2" t="s">
        <v>61</v>
      </c>
      <c r="D103" s="2" t="s">
        <v>14</v>
      </c>
      <c r="E103" s="2" t="s">
        <v>15</v>
      </c>
      <c r="F103" s="2" t="s">
        <v>38</v>
      </c>
      <c r="G103" s="2" t="s">
        <v>17</v>
      </c>
      <c r="H103" s="2" t="s">
        <v>23</v>
      </c>
      <c r="I103" s="2" t="n">
        <v>5</v>
      </c>
      <c r="J103" s="4" t="n">
        <v>1028</v>
      </c>
      <c r="K103" s="4" t="n">
        <f aca="false">I103*J103</f>
        <v>5140</v>
      </c>
      <c r="L103" s="2" t="str">
        <f aca="false">TEXT(B103,"MMM-YYYY")</f>
        <v>Nov-2025</v>
      </c>
    </row>
    <row r="104" customFormat="false" ht="15" hidden="false" customHeight="false" outlineLevel="0" collapsed="false">
      <c r="A104" s="2" t="s">
        <v>151</v>
      </c>
      <c r="B104" s="3" t="n">
        <v>45978</v>
      </c>
      <c r="C104" s="2" t="s">
        <v>30</v>
      </c>
      <c r="D104" s="2" t="s">
        <v>14</v>
      </c>
      <c r="E104" s="2" t="s">
        <v>15</v>
      </c>
      <c r="F104" s="2" t="s">
        <v>27</v>
      </c>
      <c r="G104" s="2" t="s">
        <v>41</v>
      </c>
      <c r="H104" s="2" t="s">
        <v>33</v>
      </c>
      <c r="I104" s="2" t="n">
        <v>1</v>
      </c>
      <c r="J104" s="4" t="n">
        <v>1016</v>
      </c>
      <c r="K104" s="4" t="n">
        <f aca="false">I104*J104</f>
        <v>1016</v>
      </c>
      <c r="L104" s="2" t="str">
        <f aca="false">TEXT(B104,"MMM-YYYY")</f>
        <v>Nov-2025</v>
      </c>
    </row>
    <row r="105" customFormat="false" ht="15" hidden="false" customHeight="false" outlineLevel="0" collapsed="false">
      <c r="A105" s="2" t="s">
        <v>152</v>
      </c>
      <c r="B105" s="3" t="n">
        <v>45980</v>
      </c>
      <c r="C105" s="2" t="s">
        <v>25</v>
      </c>
      <c r="D105" s="2" t="s">
        <v>46</v>
      </c>
      <c r="E105" s="2" t="s">
        <v>56</v>
      </c>
      <c r="F105" s="2" t="s">
        <v>40</v>
      </c>
      <c r="G105" s="2" t="s">
        <v>17</v>
      </c>
      <c r="H105" s="2" t="s">
        <v>18</v>
      </c>
      <c r="I105" s="2" t="n">
        <v>9</v>
      </c>
      <c r="J105" s="4" t="n">
        <v>2520</v>
      </c>
      <c r="K105" s="4" t="n">
        <f aca="false">I105*J105</f>
        <v>22680</v>
      </c>
      <c r="L105" s="2" t="str">
        <f aca="false">TEXT(B105,"MMM-YYYY")</f>
        <v>Nov-2025</v>
      </c>
    </row>
    <row r="106" customFormat="false" ht="15" hidden="false" customHeight="false" outlineLevel="0" collapsed="false">
      <c r="A106" s="2" t="s">
        <v>153</v>
      </c>
      <c r="B106" s="3" t="n">
        <v>45981</v>
      </c>
      <c r="C106" s="2" t="s">
        <v>30</v>
      </c>
      <c r="D106" s="2" t="s">
        <v>20</v>
      </c>
      <c r="E106" s="2" t="s">
        <v>43</v>
      </c>
      <c r="F106" s="2" t="s">
        <v>38</v>
      </c>
      <c r="G106" s="2" t="s">
        <v>17</v>
      </c>
      <c r="H106" s="2" t="s">
        <v>23</v>
      </c>
      <c r="I106" s="2" t="n">
        <v>4</v>
      </c>
      <c r="J106" s="4" t="n">
        <v>5398</v>
      </c>
      <c r="K106" s="4" t="n">
        <f aca="false">I106*J106</f>
        <v>21592</v>
      </c>
      <c r="L106" s="2" t="str">
        <f aca="false">TEXT(B106,"MMM-YYYY")</f>
        <v>Nov-2025</v>
      </c>
    </row>
    <row r="107" customFormat="false" ht="15" hidden="false" customHeight="false" outlineLevel="0" collapsed="false">
      <c r="A107" s="2" t="s">
        <v>154</v>
      </c>
      <c r="B107" s="3" t="n">
        <v>45984</v>
      </c>
      <c r="C107" s="2" t="s">
        <v>13</v>
      </c>
      <c r="D107" s="2" t="s">
        <v>14</v>
      </c>
      <c r="E107" s="2" t="s">
        <v>31</v>
      </c>
      <c r="F107" s="2" t="s">
        <v>40</v>
      </c>
      <c r="G107" s="2" t="s">
        <v>17</v>
      </c>
      <c r="H107" s="2" t="s">
        <v>23</v>
      </c>
      <c r="I107" s="2" t="n">
        <v>4</v>
      </c>
      <c r="J107" s="4" t="n">
        <v>1088</v>
      </c>
      <c r="K107" s="4" t="n">
        <f aca="false">I107*J107</f>
        <v>4352</v>
      </c>
      <c r="L107" s="2" t="str">
        <f aca="false">TEXT(B107,"MMM-YYYY")</f>
        <v>Nov-2025</v>
      </c>
    </row>
    <row r="108" customFormat="false" ht="15" hidden="false" customHeight="false" outlineLevel="0" collapsed="false">
      <c r="A108" s="2" t="s">
        <v>155</v>
      </c>
      <c r="B108" s="3" t="n">
        <v>45984</v>
      </c>
      <c r="C108" s="2" t="s">
        <v>13</v>
      </c>
      <c r="D108" s="2" t="s">
        <v>20</v>
      </c>
      <c r="E108" s="2" t="s">
        <v>21</v>
      </c>
      <c r="F108" s="2" t="s">
        <v>27</v>
      </c>
      <c r="G108" s="2" t="s">
        <v>17</v>
      </c>
      <c r="H108" s="2" t="s">
        <v>33</v>
      </c>
      <c r="I108" s="2" t="n">
        <v>1</v>
      </c>
      <c r="J108" s="4" t="n">
        <v>3807</v>
      </c>
      <c r="K108" s="4" t="n">
        <f aca="false">I108*J108</f>
        <v>3807</v>
      </c>
      <c r="L108" s="2" t="str">
        <f aca="false">TEXT(B108,"MMM-YYYY")</f>
        <v>Nov-2025</v>
      </c>
    </row>
    <row r="109" customFormat="false" ht="15" hidden="false" customHeight="false" outlineLevel="0" collapsed="false">
      <c r="A109" s="2" t="s">
        <v>156</v>
      </c>
      <c r="B109" s="3" t="n">
        <v>45984</v>
      </c>
      <c r="C109" s="2" t="s">
        <v>13</v>
      </c>
      <c r="D109" s="2" t="s">
        <v>46</v>
      </c>
      <c r="E109" s="2" t="s">
        <v>56</v>
      </c>
      <c r="F109" s="2" t="s">
        <v>57</v>
      </c>
      <c r="G109" s="2" t="s">
        <v>17</v>
      </c>
      <c r="H109" s="2" t="s">
        <v>33</v>
      </c>
      <c r="I109" s="2" t="n">
        <v>3</v>
      </c>
      <c r="J109" s="4" t="n">
        <v>1908</v>
      </c>
      <c r="K109" s="4" t="n">
        <f aca="false">I109*J109</f>
        <v>5724</v>
      </c>
      <c r="L109" s="2" t="str">
        <f aca="false">TEXT(B109,"MMM-YYYY")</f>
        <v>Nov-2025</v>
      </c>
    </row>
    <row r="110" customFormat="false" ht="15" hidden="false" customHeight="false" outlineLevel="0" collapsed="false">
      <c r="A110" s="2" t="s">
        <v>157</v>
      </c>
      <c r="B110" s="3" t="n">
        <v>45986</v>
      </c>
      <c r="C110" s="2" t="s">
        <v>30</v>
      </c>
      <c r="D110" s="2" t="s">
        <v>35</v>
      </c>
      <c r="E110" s="2" t="s">
        <v>36</v>
      </c>
      <c r="F110" s="2" t="s">
        <v>22</v>
      </c>
      <c r="G110" s="2" t="s">
        <v>41</v>
      </c>
      <c r="H110" s="2" t="s">
        <v>33</v>
      </c>
      <c r="I110" s="2" t="n">
        <v>5</v>
      </c>
      <c r="J110" s="4" t="n">
        <v>2511</v>
      </c>
      <c r="K110" s="4" t="n">
        <f aca="false">I110*J110</f>
        <v>12555</v>
      </c>
      <c r="L110" s="2" t="str">
        <f aca="false">TEXT(B110,"MMM-YYYY")</f>
        <v>Nov-2025</v>
      </c>
    </row>
    <row r="111" customFormat="false" ht="15" hidden="false" customHeight="false" outlineLevel="0" collapsed="false">
      <c r="A111" s="2" t="s">
        <v>158</v>
      </c>
      <c r="B111" s="3" t="n">
        <v>45986</v>
      </c>
      <c r="C111" s="2" t="s">
        <v>61</v>
      </c>
      <c r="D111" s="2" t="s">
        <v>46</v>
      </c>
      <c r="E111" s="2" t="s">
        <v>47</v>
      </c>
      <c r="F111" s="2" t="s">
        <v>40</v>
      </c>
      <c r="G111" s="2" t="s">
        <v>17</v>
      </c>
      <c r="H111" s="2" t="s">
        <v>18</v>
      </c>
      <c r="I111" s="2" t="n">
        <v>11</v>
      </c>
      <c r="J111" s="4" t="n">
        <v>2188</v>
      </c>
      <c r="K111" s="4" t="n">
        <f aca="false">I111*J111</f>
        <v>24068</v>
      </c>
      <c r="L111" s="2" t="str">
        <f aca="false">TEXT(B111,"MMM-YYYY")</f>
        <v>Nov-2025</v>
      </c>
    </row>
    <row r="112" customFormat="false" ht="15" hidden="false" customHeight="false" outlineLevel="0" collapsed="false">
      <c r="A112" s="2" t="s">
        <v>159</v>
      </c>
      <c r="B112" s="3" t="n">
        <v>45988</v>
      </c>
      <c r="C112" s="2" t="s">
        <v>30</v>
      </c>
      <c r="D112" s="2" t="s">
        <v>46</v>
      </c>
      <c r="E112" s="2" t="s">
        <v>56</v>
      </c>
      <c r="F112" s="2" t="s">
        <v>40</v>
      </c>
      <c r="G112" s="2" t="s">
        <v>17</v>
      </c>
      <c r="H112" s="2" t="s">
        <v>33</v>
      </c>
      <c r="I112" s="2" t="n">
        <v>10</v>
      </c>
      <c r="J112" s="4" t="n">
        <v>1961</v>
      </c>
      <c r="K112" s="4" t="n">
        <f aca="false">I112*J112</f>
        <v>19610</v>
      </c>
      <c r="L112" s="2" t="str">
        <f aca="false">TEXT(B112,"MMM-YYYY")</f>
        <v>Nov-2025</v>
      </c>
    </row>
    <row r="113" customFormat="false" ht="15" hidden="false" customHeight="false" outlineLevel="0" collapsed="false">
      <c r="A113" s="2" t="s">
        <v>160</v>
      </c>
      <c r="B113" s="3" t="n">
        <v>45988</v>
      </c>
      <c r="C113" s="2" t="s">
        <v>13</v>
      </c>
      <c r="D113" s="2" t="s">
        <v>20</v>
      </c>
      <c r="E113" s="2" t="s">
        <v>70</v>
      </c>
      <c r="F113" s="2" t="s">
        <v>22</v>
      </c>
      <c r="G113" s="2" t="s">
        <v>17</v>
      </c>
      <c r="H113" s="2" t="s">
        <v>33</v>
      </c>
      <c r="I113" s="2" t="n">
        <v>11</v>
      </c>
      <c r="J113" s="4" t="n">
        <v>4307</v>
      </c>
      <c r="K113" s="4" t="n">
        <f aca="false">I113*J113</f>
        <v>47377</v>
      </c>
      <c r="L113" s="2" t="str">
        <f aca="false">TEXT(B113,"MMM-YYYY")</f>
        <v>Nov-2025</v>
      </c>
    </row>
    <row r="114" customFormat="false" ht="15" hidden="false" customHeight="false" outlineLevel="0" collapsed="false">
      <c r="A114" s="2" t="s">
        <v>161</v>
      </c>
      <c r="B114" s="3" t="n">
        <v>45988</v>
      </c>
      <c r="C114" s="2" t="s">
        <v>13</v>
      </c>
      <c r="D114" s="2" t="s">
        <v>46</v>
      </c>
      <c r="E114" s="2" t="s">
        <v>50</v>
      </c>
      <c r="F114" s="2" t="s">
        <v>38</v>
      </c>
      <c r="G114" s="2" t="s">
        <v>41</v>
      </c>
      <c r="H114" s="2" t="s">
        <v>18</v>
      </c>
      <c r="I114" s="2" t="n">
        <v>11</v>
      </c>
      <c r="J114" s="4" t="n">
        <v>2119</v>
      </c>
      <c r="K114" s="4" t="n">
        <f aca="false">I114*J114</f>
        <v>23309</v>
      </c>
      <c r="L114" s="2" t="str">
        <f aca="false">TEXT(B114,"MMM-YYYY")</f>
        <v>Nov-2025</v>
      </c>
    </row>
    <row r="115" customFormat="false" ht="15" hidden="false" customHeight="false" outlineLevel="0" collapsed="false">
      <c r="A115" s="2" t="s">
        <v>162</v>
      </c>
      <c r="B115" s="3" t="n">
        <v>45989</v>
      </c>
      <c r="C115" s="2" t="s">
        <v>25</v>
      </c>
      <c r="D115" s="2" t="s">
        <v>46</v>
      </c>
      <c r="E115" s="2" t="s">
        <v>64</v>
      </c>
      <c r="F115" s="2" t="s">
        <v>57</v>
      </c>
      <c r="G115" s="2" t="s">
        <v>32</v>
      </c>
      <c r="H115" s="2" t="s">
        <v>33</v>
      </c>
      <c r="I115" s="2" t="n">
        <v>12</v>
      </c>
      <c r="J115" s="4" t="n">
        <v>2600</v>
      </c>
      <c r="K115" s="4" t="n">
        <f aca="false">I115*J115</f>
        <v>31200</v>
      </c>
      <c r="L115" s="2" t="str">
        <f aca="false">TEXT(B115,"MMM-YYYY")</f>
        <v>Nov-2025</v>
      </c>
    </row>
    <row r="116" customFormat="false" ht="15" hidden="false" customHeight="false" outlineLevel="0" collapsed="false">
      <c r="A116" s="2" t="s">
        <v>163</v>
      </c>
      <c r="B116" s="3" t="n">
        <v>45989</v>
      </c>
      <c r="C116" s="2" t="s">
        <v>25</v>
      </c>
      <c r="D116" s="2" t="s">
        <v>46</v>
      </c>
      <c r="E116" s="2" t="s">
        <v>56</v>
      </c>
      <c r="F116" s="2" t="s">
        <v>38</v>
      </c>
      <c r="G116" s="2" t="s">
        <v>32</v>
      </c>
      <c r="H116" s="2" t="s">
        <v>18</v>
      </c>
      <c r="I116" s="2" t="n">
        <v>10</v>
      </c>
      <c r="J116" s="4" t="n">
        <v>2762</v>
      </c>
      <c r="K116" s="4" t="n">
        <f aca="false">I116*J116</f>
        <v>27620</v>
      </c>
      <c r="L116" s="2" t="str">
        <f aca="false">TEXT(B116,"MMM-YYYY")</f>
        <v>Nov-2025</v>
      </c>
    </row>
    <row r="117" customFormat="false" ht="15" hidden="false" customHeight="false" outlineLevel="0" collapsed="false">
      <c r="A117" s="2" t="s">
        <v>164</v>
      </c>
      <c r="B117" s="3" t="n">
        <v>45989</v>
      </c>
      <c r="C117" s="2" t="s">
        <v>61</v>
      </c>
      <c r="D117" s="2" t="s">
        <v>46</v>
      </c>
      <c r="E117" s="2" t="s">
        <v>50</v>
      </c>
      <c r="F117" s="2" t="s">
        <v>16</v>
      </c>
      <c r="G117" s="2" t="s">
        <v>17</v>
      </c>
      <c r="H117" s="2" t="s">
        <v>33</v>
      </c>
      <c r="I117" s="2" t="n">
        <v>3</v>
      </c>
      <c r="J117" s="4" t="n">
        <v>2405</v>
      </c>
      <c r="K117" s="4" t="n">
        <f aca="false">I117*J117</f>
        <v>7215</v>
      </c>
      <c r="L117" s="2" t="str">
        <f aca="false">TEXT(B117,"MMM-YYYY")</f>
        <v>Nov-2025</v>
      </c>
    </row>
    <row r="118" customFormat="false" ht="15" hidden="false" customHeight="false" outlineLevel="0" collapsed="false">
      <c r="A118" s="2" t="s">
        <v>165</v>
      </c>
      <c r="B118" s="3" t="n">
        <v>45990</v>
      </c>
      <c r="C118" s="2" t="s">
        <v>61</v>
      </c>
      <c r="D118" s="2" t="s">
        <v>46</v>
      </c>
      <c r="E118" s="2" t="s">
        <v>56</v>
      </c>
      <c r="F118" s="2" t="s">
        <v>40</v>
      </c>
      <c r="G118" s="2" t="s">
        <v>41</v>
      </c>
      <c r="H118" s="2" t="s">
        <v>23</v>
      </c>
      <c r="I118" s="2" t="n">
        <v>7</v>
      </c>
      <c r="J118" s="4" t="n">
        <v>2121</v>
      </c>
      <c r="K118" s="4" t="n">
        <f aca="false">I118*J118</f>
        <v>14847</v>
      </c>
      <c r="L118" s="2" t="str">
        <f aca="false">TEXT(B118,"MMM-YYYY")</f>
        <v>Nov-2025</v>
      </c>
    </row>
    <row r="119" customFormat="false" ht="15" hidden="false" customHeight="false" outlineLevel="0" collapsed="false">
      <c r="A119" s="2" t="s">
        <v>166</v>
      </c>
      <c r="B119" s="3" t="n">
        <v>45991</v>
      </c>
      <c r="C119" s="2" t="s">
        <v>61</v>
      </c>
      <c r="D119" s="2" t="s">
        <v>20</v>
      </c>
      <c r="E119" s="2" t="s">
        <v>21</v>
      </c>
      <c r="F119" s="2" t="s">
        <v>16</v>
      </c>
      <c r="G119" s="2" t="s">
        <v>41</v>
      </c>
      <c r="H119" s="2" t="s">
        <v>28</v>
      </c>
      <c r="I119" s="2" t="n">
        <v>12</v>
      </c>
      <c r="J119" s="4" t="n">
        <v>4122</v>
      </c>
      <c r="K119" s="4" t="n">
        <f aca="false">I119*J119</f>
        <v>49464</v>
      </c>
      <c r="L119" s="2" t="str">
        <f aca="false">TEXT(B119,"MMM-YYYY")</f>
        <v>Nov-2025</v>
      </c>
    </row>
    <row r="120" customFormat="false" ht="15" hidden="false" customHeight="false" outlineLevel="0" collapsed="false">
      <c r="A120" s="2" t="s">
        <v>167</v>
      </c>
      <c r="B120" s="3" t="n">
        <v>45992</v>
      </c>
      <c r="C120" s="2" t="s">
        <v>13</v>
      </c>
      <c r="D120" s="2" t="s">
        <v>20</v>
      </c>
      <c r="E120" s="2" t="s">
        <v>70</v>
      </c>
      <c r="F120" s="2" t="s">
        <v>38</v>
      </c>
      <c r="G120" s="2" t="s">
        <v>41</v>
      </c>
      <c r="H120" s="2" t="s">
        <v>18</v>
      </c>
      <c r="I120" s="2" t="n">
        <v>1</v>
      </c>
      <c r="J120" s="4" t="n">
        <v>4278</v>
      </c>
      <c r="K120" s="4" t="n">
        <f aca="false">I120*J120</f>
        <v>4278</v>
      </c>
      <c r="L120" s="2" t="str">
        <f aca="false">TEXT(B120,"MMM-YYYY")</f>
        <v>Dec-2025</v>
      </c>
    </row>
    <row r="121" customFormat="false" ht="15" hidden="false" customHeight="false" outlineLevel="0" collapsed="false">
      <c r="A121" s="2" t="s">
        <v>168</v>
      </c>
      <c r="B121" s="3" t="n">
        <v>45993</v>
      </c>
      <c r="C121" s="2" t="s">
        <v>61</v>
      </c>
      <c r="D121" s="2" t="s">
        <v>14</v>
      </c>
      <c r="E121" s="2" t="s">
        <v>31</v>
      </c>
      <c r="F121" s="2" t="s">
        <v>38</v>
      </c>
      <c r="G121" s="2" t="s">
        <v>41</v>
      </c>
      <c r="H121" s="2" t="s">
        <v>18</v>
      </c>
      <c r="I121" s="2" t="n">
        <v>6</v>
      </c>
      <c r="J121" s="4" t="n">
        <v>953</v>
      </c>
      <c r="K121" s="4" t="n">
        <f aca="false">I121*J121</f>
        <v>5718</v>
      </c>
      <c r="L121" s="2" t="str">
        <f aca="false">TEXT(B121,"MMM-YYYY")</f>
        <v>Dec-2025</v>
      </c>
    </row>
    <row r="122" customFormat="false" ht="15" hidden="false" customHeight="false" outlineLevel="0" collapsed="false">
      <c r="A122" s="2" t="s">
        <v>169</v>
      </c>
      <c r="B122" s="3" t="n">
        <v>45994</v>
      </c>
      <c r="C122" s="2" t="s">
        <v>25</v>
      </c>
      <c r="D122" s="2" t="s">
        <v>35</v>
      </c>
      <c r="E122" s="2" t="s">
        <v>36</v>
      </c>
      <c r="F122" s="2" t="s">
        <v>40</v>
      </c>
      <c r="G122" s="2" t="s">
        <v>17</v>
      </c>
      <c r="H122" s="2" t="s">
        <v>28</v>
      </c>
      <c r="I122" s="2" t="n">
        <v>7</v>
      </c>
      <c r="J122" s="4" t="n">
        <v>3376</v>
      </c>
      <c r="K122" s="4" t="n">
        <f aca="false">I122*J122</f>
        <v>23632</v>
      </c>
      <c r="L122" s="2" t="str">
        <f aca="false">TEXT(B122,"MMM-YYYY")</f>
        <v>Dec-2025</v>
      </c>
    </row>
    <row r="123" customFormat="false" ht="15" hidden="false" customHeight="false" outlineLevel="0" collapsed="false">
      <c r="A123" s="2" t="s">
        <v>170</v>
      </c>
      <c r="B123" s="3" t="n">
        <v>45996</v>
      </c>
      <c r="C123" s="2" t="s">
        <v>61</v>
      </c>
      <c r="D123" s="2" t="s">
        <v>14</v>
      </c>
      <c r="E123" s="2" t="s">
        <v>15</v>
      </c>
      <c r="F123" s="2" t="s">
        <v>38</v>
      </c>
      <c r="G123" s="2" t="s">
        <v>17</v>
      </c>
      <c r="H123" s="2" t="s">
        <v>18</v>
      </c>
      <c r="I123" s="2" t="n">
        <v>1</v>
      </c>
      <c r="J123" s="4" t="n">
        <v>836</v>
      </c>
      <c r="K123" s="4" t="n">
        <f aca="false">I123*J123</f>
        <v>836</v>
      </c>
      <c r="L123" s="2" t="str">
        <f aca="false">TEXT(B123,"MMM-YYYY")</f>
        <v>Dec-2025</v>
      </c>
    </row>
    <row r="124" customFormat="false" ht="15" hidden="false" customHeight="false" outlineLevel="0" collapsed="false">
      <c r="A124" s="2" t="s">
        <v>171</v>
      </c>
      <c r="B124" s="3" t="n">
        <v>45996</v>
      </c>
      <c r="C124" s="2" t="s">
        <v>25</v>
      </c>
      <c r="D124" s="2" t="s">
        <v>14</v>
      </c>
      <c r="E124" s="2" t="s">
        <v>31</v>
      </c>
      <c r="F124" s="2" t="s">
        <v>57</v>
      </c>
      <c r="G124" s="2" t="s">
        <v>17</v>
      </c>
      <c r="H124" s="2" t="s">
        <v>23</v>
      </c>
      <c r="I124" s="2" t="n">
        <v>5</v>
      </c>
      <c r="J124" s="4" t="n">
        <v>1159</v>
      </c>
      <c r="K124" s="4" t="n">
        <f aca="false">I124*J124</f>
        <v>5795</v>
      </c>
      <c r="L124" s="2" t="str">
        <f aca="false">TEXT(B124,"MMM-YYYY")</f>
        <v>Dec-2025</v>
      </c>
    </row>
    <row r="125" customFormat="false" ht="15" hidden="false" customHeight="false" outlineLevel="0" collapsed="false">
      <c r="A125" s="2" t="s">
        <v>172</v>
      </c>
      <c r="B125" s="3" t="n">
        <v>45998</v>
      </c>
      <c r="C125" s="2" t="s">
        <v>61</v>
      </c>
      <c r="D125" s="2" t="s">
        <v>35</v>
      </c>
      <c r="E125" s="2" t="s">
        <v>72</v>
      </c>
      <c r="F125" s="2" t="s">
        <v>40</v>
      </c>
      <c r="G125" s="2" t="s">
        <v>41</v>
      </c>
      <c r="H125" s="2" t="s">
        <v>33</v>
      </c>
      <c r="I125" s="2" t="n">
        <v>1</v>
      </c>
      <c r="J125" s="4" t="n">
        <v>2383</v>
      </c>
      <c r="K125" s="4" t="n">
        <f aca="false">I125*J125</f>
        <v>2383</v>
      </c>
      <c r="L125" s="2" t="str">
        <f aca="false">TEXT(B125,"MMM-YYYY")</f>
        <v>Dec-2025</v>
      </c>
    </row>
    <row r="126" customFormat="false" ht="15" hidden="false" customHeight="false" outlineLevel="0" collapsed="false">
      <c r="A126" s="2" t="s">
        <v>173</v>
      </c>
      <c r="B126" s="3" t="n">
        <v>45998</v>
      </c>
      <c r="C126" s="2" t="s">
        <v>25</v>
      </c>
      <c r="D126" s="2" t="s">
        <v>20</v>
      </c>
      <c r="E126" s="2" t="s">
        <v>21</v>
      </c>
      <c r="F126" s="2" t="s">
        <v>22</v>
      </c>
      <c r="G126" s="2" t="s">
        <v>41</v>
      </c>
      <c r="H126" s="2" t="s">
        <v>23</v>
      </c>
      <c r="I126" s="2" t="n">
        <v>5</v>
      </c>
      <c r="J126" s="4" t="n">
        <v>3397</v>
      </c>
      <c r="K126" s="4" t="n">
        <f aca="false">I126*J126</f>
        <v>16985</v>
      </c>
      <c r="L126" s="2" t="str">
        <f aca="false">TEXT(B126,"MMM-YYYY")</f>
        <v>Dec-2025</v>
      </c>
    </row>
    <row r="127" customFormat="false" ht="15" hidden="false" customHeight="false" outlineLevel="0" collapsed="false">
      <c r="A127" s="2" t="s">
        <v>174</v>
      </c>
      <c r="B127" s="3" t="n">
        <v>45999</v>
      </c>
      <c r="C127" s="2" t="s">
        <v>61</v>
      </c>
      <c r="D127" s="2" t="s">
        <v>35</v>
      </c>
      <c r="E127" s="2" t="s">
        <v>36</v>
      </c>
      <c r="F127" s="2" t="s">
        <v>57</v>
      </c>
      <c r="G127" s="2" t="s">
        <v>32</v>
      </c>
      <c r="H127" s="2" t="s">
        <v>23</v>
      </c>
      <c r="I127" s="2" t="n">
        <v>7</v>
      </c>
      <c r="J127" s="4" t="n">
        <v>2673</v>
      </c>
      <c r="K127" s="4" t="n">
        <f aca="false">I127*J127</f>
        <v>18711</v>
      </c>
      <c r="L127" s="2" t="str">
        <f aca="false">TEXT(B127,"MMM-YYYY")</f>
        <v>Dec-2025</v>
      </c>
    </row>
    <row r="128" customFormat="false" ht="15" hidden="false" customHeight="false" outlineLevel="0" collapsed="false">
      <c r="A128" s="2" t="s">
        <v>175</v>
      </c>
      <c r="B128" s="3" t="n">
        <v>45999</v>
      </c>
      <c r="C128" s="2" t="s">
        <v>25</v>
      </c>
      <c r="D128" s="2" t="s">
        <v>35</v>
      </c>
      <c r="E128" s="2" t="s">
        <v>52</v>
      </c>
      <c r="F128" s="2" t="s">
        <v>22</v>
      </c>
      <c r="G128" s="2" t="s">
        <v>41</v>
      </c>
      <c r="H128" s="2" t="s">
        <v>18</v>
      </c>
      <c r="I128" s="2" t="n">
        <v>10</v>
      </c>
      <c r="J128" s="4" t="n">
        <v>2490</v>
      </c>
      <c r="K128" s="4" t="n">
        <f aca="false">I128*J128</f>
        <v>24900</v>
      </c>
      <c r="L128" s="2" t="str">
        <f aca="false">TEXT(B128,"MMM-YYYY")</f>
        <v>Dec-2025</v>
      </c>
    </row>
    <row r="129" customFormat="false" ht="15" hidden="false" customHeight="false" outlineLevel="0" collapsed="false">
      <c r="A129" s="2" t="s">
        <v>176</v>
      </c>
      <c r="B129" s="3" t="n">
        <v>46000</v>
      </c>
      <c r="C129" s="2" t="s">
        <v>13</v>
      </c>
      <c r="D129" s="2" t="s">
        <v>46</v>
      </c>
      <c r="E129" s="2" t="s">
        <v>47</v>
      </c>
      <c r="F129" s="2" t="s">
        <v>27</v>
      </c>
      <c r="G129" s="2" t="s">
        <v>32</v>
      </c>
      <c r="H129" s="2" t="s">
        <v>28</v>
      </c>
      <c r="I129" s="2" t="n">
        <v>10</v>
      </c>
      <c r="J129" s="4" t="n">
        <v>2026</v>
      </c>
      <c r="K129" s="4" t="n">
        <f aca="false">I129*J129</f>
        <v>20260</v>
      </c>
      <c r="L129" s="2" t="str">
        <f aca="false">TEXT(B129,"MMM-YYYY")</f>
        <v>Dec-2025</v>
      </c>
    </row>
    <row r="130" customFormat="false" ht="15" hidden="false" customHeight="false" outlineLevel="0" collapsed="false">
      <c r="A130" s="2" t="s">
        <v>177</v>
      </c>
      <c r="B130" s="3" t="n">
        <v>46000</v>
      </c>
      <c r="C130" s="2" t="s">
        <v>30</v>
      </c>
      <c r="D130" s="2" t="s">
        <v>14</v>
      </c>
      <c r="E130" s="2" t="s">
        <v>95</v>
      </c>
      <c r="F130" s="2" t="s">
        <v>22</v>
      </c>
      <c r="G130" s="2" t="s">
        <v>41</v>
      </c>
      <c r="H130" s="2" t="s">
        <v>33</v>
      </c>
      <c r="I130" s="2" t="n">
        <v>11</v>
      </c>
      <c r="J130" s="4" t="n">
        <v>887</v>
      </c>
      <c r="K130" s="4" t="n">
        <f aca="false">I130*J130</f>
        <v>9757</v>
      </c>
      <c r="L130" s="2" t="str">
        <f aca="false">TEXT(B130,"MMM-YYYY")</f>
        <v>Dec-2025</v>
      </c>
    </row>
    <row r="131" customFormat="false" ht="15" hidden="false" customHeight="false" outlineLevel="0" collapsed="false">
      <c r="A131" s="2" t="s">
        <v>178</v>
      </c>
      <c r="B131" s="3" t="n">
        <v>46001</v>
      </c>
      <c r="C131" s="2" t="s">
        <v>25</v>
      </c>
      <c r="D131" s="2" t="s">
        <v>35</v>
      </c>
      <c r="E131" s="2" t="s">
        <v>72</v>
      </c>
      <c r="F131" s="2" t="s">
        <v>38</v>
      </c>
      <c r="G131" s="2" t="s">
        <v>41</v>
      </c>
      <c r="H131" s="2" t="s">
        <v>33</v>
      </c>
      <c r="I131" s="2" t="n">
        <v>4</v>
      </c>
      <c r="J131" s="4" t="n">
        <v>3175</v>
      </c>
      <c r="K131" s="4" t="n">
        <f aca="false">I131*J131</f>
        <v>12700</v>
      </c>
      <c r="L131" s="2" t="str">
        <f aca="false">TEXT(B131,"MMM-YYYY")</f>
        <v>Dec-2025</v>
      </c>
    </row>
    <row r="132" customFormat="false" ht="15" hidden="false" customHeight="false" outlineLevel="0" collapsed="false">
      <c r="A132" s="2" t="s">
        <v>179</v>
      </c>
      <c r="B132" s="3" t="n">
        <v>46001</v>
      </c>
      <c r="C132" s="2" t="s">
        <v>13</v>
      </c>
      <c r="D132" s="2" t="s">
        <v>35</v>
      </c>
      <c r="E132" s="2" t="s">
        <v>77</v>
      </c>
      <c r="F132" s="2" t="s">
        <v>57</v>
      </c>
      <c r="G132" s="2" t="s">
        <v>17</v>
      </c>
      <c r="H132" s="2" t="s">
        <v>23</v>
      </c>
      <c r="I132" s="2" t="n">
        <v>11</v>
      </c>
      <c r="J132" s="4" t="n">
        <v>3489</v>
      </c>
      <c r="K132" s="4" t="n">
        <f aca="false">I132*J132</f>
        <v>38379</v>
      </c>
      <c r="L132" s="2" t="str">
        <f aca="false">TEXT(B132,"MMM-YYYY")</f>
        <v>Dec-2025</v>
      </c>
    </row>
    <row r="133" customFormat="false" ht="15" hidden="false" customHeight="false" outlineLevel="0" collapsed="false">
      <c r="A133" s="2" t="s">
        <v>180</v>
      </c>
      <c r="B133" s="3" t="n">
        <v>46001</v>
      </c>
      <c r="C133" s="2" t="s">
        <v>25</v>
      </c>
      <c r="D133" s="2" t="s">
        <v>35</v>
      </c>
      <c r="E133" s="2" t="s">
        <v>52</v>
      </c>
      <c r="F133" s="2" t="s">
        <v>27</v>
      </c>
      <c r="G133" s="2" t="s">
        <v>32</v>
      </c>
      <c r="H133" s="2" t="s">
        <v>33</v>
      </c>
      <c r="I133" s="2" t="n">
        <v>9</v>
      </c>
      <c r="J133" s="4" t="n">
        <v>3396</v>
      </c>
      <c r="K133" s="4" t="n">
        <f aca="false">I133*J133</f>
        <v>30564</v>
      </c>
      <c r="L133" s="2" t="str">
        <f aca="false">TEXT(B133,"MMM-YYYY")</f>
        <v>Dec-2025</v>
      </c>
    </row>
    <row r="134" customFormat="false" ht="15" hidden="false" customHeight="false" outlineLevel="0" collapsed="false">
      <c r="A134" s="2" t="s">
        <v>181</v>
      </c>
      <c r="B134" s="3" t="n">
        <v>46002</v>
      </c>
      <c r="C134" s="2" t="s">
        <v>61</v>
      </c>
      <c r="D134" s="2" t="s">
        <v>35</v>
      </c>
      <c r="E134" s="2" t="s">
        <v>72</v>
      </c>
      <c r="F134" s="2" t="s">
        <v>57</v>
      </c>
      <c r="G134" s="2" t="s">
        <v>41</v>
      </c>
      <c r="H134" s="2" t="s">
        <v>23</v>
      </c>
      <c r="I134" s="2" t="n">
        <v>9</v>
      </c>
      <c r="J134" s="4" t="n">
        <v>2281</v>
      </c>
      <c r="K134" s="4" t="n">
        <f aca="false">I134*J134</f>
        <v>20529</v>
      </c>
      <c r="L134" s="2" t="str">
        <f aca="false">TEXT(B134,"MMM-YYYY")</f>
        <v>Dec-2025</v>
      </c>
    </row>
    <row r="135" customFormat="false" ht="15" hidden="false" customHeight="false" outlineLevel="0" collapsed="false">
      <c r="A135" s="2" t="s">
        <v>182</v>
      </c>
      <c r="B135" s="3" t="n">
        <v>46003</v>
      </c>
      <c r="C135" s="2" t="s">
        <v>30</v>
      </c>
      <c r="D135" s="2" t="s">
        <v>46</v>
      </c>
      <c r="E135" s="2" t="s">
        <v>56</v>
      </c>
      <c r="F135" s="2" t="s">
        <v>57</v>
      </c>
      <c r="G135" s="2" t="s">
        <v>17</v>
      </c>
      <c r="H135" s="2" t="s">
        <v>23</v>
      </c>
      <c r="I135" s="2" t="n">
        <v>6</v>
      </c>
      <c r="J135" s="4" t="n">
        <v>1831</v>
      </c>
      <c r="K135" s="4" t="n">
        <f aca="false">I135*J135</f>
        <v>10986</v>
      </c>
      <c r="L135" s="2" t="str">
        <f aca="false">TEXT(B135,"MMM-YYYY")</f>
        <v>Dec-2025</v>
      </c>
    </row>
    <row r="136" customFormat="false" ht="15" hidden="false" customHeight="false" outlineLevel="0" collapsed="false">
      <c r="A136" s="2" t="s">
        <v>183</v>
      </c>
      <c r="B136" s="3" t="n">
        <v>46003</v>
      </c>
      <c r="C136" s="2" t="s">
        <v>25</v>
      </c>
      <c r="D136" s="2" t="s">
        <v>46</v>
      </c>
      <c r="E136" s="2" t="s">
        <v>47</v>
      </c>
      <c r="F136" s="2" t="s">
        <v>57</v>
      </c>
      <c r="G136" s="2" t="s">
        <v>41</v>
      </c>
      <c r="H136" s="2" t="s">
        <v>23</v>
      </c>
      <c r="I136" s="2" t="n">
        <v>5</v>
      </c>
      <c r="J136" s="4" t="n">
        <v>2694</v>
      </c>
      <c r="K136" s="4" t="n">
        <f aca="false">I136*J136</f>
        <v>13470</v>
      </c>
      <c r="L136" s="2" t="str">
        <f aca="false">TEXT(B136,"MMM-YYYY")</f>
        <v>Dec-2025</v>
      </c>
    </row>
    <row r="137" customFormat="false" ht="15" hidden="false" customHeight="false" outlineLevel="0" collapsed="false">
      <c r="A137" s="2" t="s">
        <v>184</v>
      </c>
      <c r="B137" s="3" t="n">
        <v>46004</v>
      </c>
      <c r="C137" s="2" t="s">
        <v>13</v>
      </c>
      <c r="D137" s="2" t="s">
        <v>35</v>
      </c>
      <c r="E137" s="2" t="s">
        <v>72</v>
      </c>
      <c r="F137" s="2" t="s">
        <v>38</v>
      </c>
      <c r="G137" s="2" t="s">
        <v>41</v>
      </c>
      <c r="H137" s="2" t="s">
        <v>23</v>
      </c>
      <c r="I137" s="2" t="n">
        <v>8</v>
      </c>
      <c r="J137" s="4" t="n">
        <v>2418</v>
      </c>
      <c r="K137" s="4" t="n">
        <f aca="false">I137*J137</f>
        <v>19344</v>
      </c>
      <c r="L137" s="2" t="str">
        <f aca="false">TEXT(B137,"MMM-YYYY")</f>
        <v>Dec-2025</v>
      </c>
    </row>
    <row r="138" customFormat="false" ht="15" hidden="false" customHeight="false" outlineLevel="0" collapsed="false">
      <c r="A138" s="2" t="s">
        <v>185</v>
      </c>
      <c r="B138" s="3" t="n">
        <v>46004</v>
      </c>
      <c r="C138" s="2" t="s">
        <v>25</v>
      </c>
      <c r="D138" s="2" t="s">
        <v>46</v>
      </c>
      <c r="E138" s="2" t="s">
        <v>64</v>
      </c>
      <c r="F138" s="2" t="s">
        <v>57</v>
      </c>
      <c r="G138" s="2" t="s">
        <v>17</v>
      </c>
      <c r="H138" s="2" t="s">
        <v>33</v>
      </c>
      <c r="I138" s="2" t="n">
        <v>11</v>
      </c>
      <c r="J138" s="4" t="n">
        <v>2067</v>
      </c>
      <c r="K138" s="4" t="n">
        <f aca="false">I138*J138</f>
        <v>22737</v>
      </c>
      <c r="L138" s="2" t="str">
        <f aca="false">TEXT(B138,"MMM-YYYY")</f>
        <v>Dec-2025</v>
      </c>
    </row>
    <row r="139" customFormat="false" ht="15" hidden="false" customHeight="false" outlineLevel="0" collapsed="false">
      <c r="A139" s="2" t="s">
        <v>186</v>
      </c>
      <c r="B139" s="3" t="n">
        <v>46005</v>
      </c>
      <c r="C139" s="2" t="s">
        <v>13</v>
      </c>
      <c r="D139" s="2" t="s">
        <v>14</v>
      </c>
      <c r="E139" s="2" t="s">
        <v>15</v>
      </c>
      <c r="F139" s="2" t="s">
        <v>57</v>
      </c>
      <c r="G139" s="2" t="s">
        <v>41</v>
      </c>
      <c r="H139" s="2" t="s">
        <v>28</v>
      </c>
      <c r="I139" s="2" t="n">
        <v>3</v>
      </c>
      <c r="J139" s="4" t="n">
        <v>1031</v>
      </c>
      <c r="K139" s="4" t="n">
        <f aca="false">I139*J139</f>
        <v>3093</v>
      </c>
      <c r="L139" s="2" t="str">
        <f aca="false">TEXT(B139,"MMM-YYYY")</f>
        <v>Dec-2025</v>
      </c>
    </row>
    <row r="140" customFormat="false" ht="15" hidden="false" customHeight="false" outlineLevel="0" collapsed="false">
      <c r="A140" s="2" t="s">
        <v>187</v>
      </c>
      <c r="B140" s="3" t="n">
        <v>46005</v>
      </c>
      <c r="C140" s="2" t="s">
        <v>30</v>
      </c>
      <c r="D140" s="2" t="s">
        <v>14</v>
      </c>
      <c r="E140" s="2" t="s">
        <v>95</v>
      </c>
      <c r="F140" s="2" t="s">
        <v>40</v>
      </c>
      <c r="G140" s="2" t="s">
        <v>32</v>
      </c>
      <c r="H140" s="2" t="s">
        <v>33</v>
      </c>
      <c r="I140" s="2" t="n">
        <v>8</v>
      </c>
      <c r="J140" s="4" t="n">
        <v>1100</v>
      </c>
      <c r="K140" s="4" t="n">
        <f aca="false">I140*J140</f>
        <v>8800</v>
      </c>
      <c r="L140" s="2" t="str">
        <f aca="false">TEXT(B140,"MMM-YYYY")</f>
        <v>Dec-2025</v>
      </c>
    </row>
    <row r="141" customFormat="false" ht="15" hidden="false" customHeight="false" outlineLevel="0" collapsed="false">
      <c r="A141" s="2" t="s">
        <v>188</v>
      </c>
      <c r="B141" s="3" t="n">
        <v>46005</v>
      </c>
      <c r="C141" s="2" t="s">
        <v>13</v>
      </c>
      <c r="D141" s="2" t="s">
        <v>35</v>
      </c>
      <c r="E141" s="2" t="s">
        <v>72</v>
      </c>
      <c r="F141" s="2" t="s">
        <v>16</v>
      </c>
      <c r="G141" s="2" t="s">
        <v>17</v>
      </c>
      <c r="H141" s="2" t="s">
        <v>18</v>
      </c>
      <c r="I141" s="2" t="n">
        <v>8</v>
      </c>
      <c r="J141" s="4" t="n">
        <v>2562</v>
      </c>
      <c r="K141" s="4" t="n">
        <f aca="false">I141*J141</f>
        <v>20496</v>
      </c>
      <c r="L141" s="2" t="str">
        <f aca="false">TEXT(B141,"MMM-YYYY")</f>
        <v>Dec-2025</v>
      </c>
    </row>
    <row r="142" customFormat="false" ht="15" hidden="false" customHeight="false" outlineLevel="0" collapsed="false">
      <c r="A142" s="2" t="s">
        <v>189</v>
      </c>
      <c r="B142" s="3" t="n">
        <v>46005</v>
      </c>
      <c r="C142" s="2" t="s">
        <v>30</v>
      </c>
      <c r="D142" s="2" t="s">
        <v>20</v>
      </c>
      <c r="E142" s="2" t="s">
        <v>43</v>
      </c>
      <c r="F142" s="2" t="s">
        <v>27</v>
      </c>
      <c r="G142" s="2" t="s">
        <v>17</v>
      </c>
      <c r="H142" s="2" t="s">
        <v>28</v>
      </c>
      <c r="I142" s="2" t="n">
        <v>5</v>
      </c>
      <c r="J142" s="4" t="n">
        <v>3382</v>
      </c>
      <c r="K142" s="4" t="n">
        <f aca="false">I142*J142</f>
        <v>16910</v>
      </c>
      <c r="L142" s="2" t="str">
        <f aca="false">TEXT(B142,"MMM-YYYY")</f>
        <v>Dec-2025</v>
      </c>
    </row>
    <row r="143" customFormat="false" ht="15" hidden="false" customHeight="false" outlineLevel="0" collapsed="false">
      <c r="A143" s="2" t="s">
        <v>190</v>
      </c>
      <c r="B143" s="3" t="n">
        <v>46005</v>
      </c>
      <c r="C143" s="2" t="s">
        <v>61</v>
      </c>
      <c r="D143" s="2" t="s">
        <v>46</v>
      </c>
      <c r="E143" s="2" t="s">
        <v>47</v>
      </c>
      <c r="F143" s="2" t="s">
        <v>22</v>
      </c>
      <c r="G143" s="2" t="s">
        <v>17</v>
      </c>
      <c r="H143" s="2" t="s">
        <v>33</v>
      </c>
      <c r="I143" s="2" t="n">
        <v>5</v>
      </c>
      <c r="J143" s="4" t="n">
        <v>2440</v>
      </c>
      <c r="K143" s="4" t="n">
        <f aca="false">I143*J143</f>
        <v>12200</v>
      </c>
      <c r="L143" s="2" t="str">
        <f aca="false">TEXT(B143,"MMM-YYYY")</f>
        <v>Dec-2025</v>
      </c>
    </row>
    <row r="144" customFormat="false" ht="15" hidden="false" customHeight="false" outlineLevel="0" collapsed="false">
      <c r="A144" s="2" t="s">
        <v>191</v>
      </c>
      <c r="B144" s="3" t="n">
        <v>46006</v>
      </c>
      <c r="C144" s="2" t="s">
        <v>30</v>
      </c>
      <c r="D144" s="2" t="s">
        <v>35</v>
      </c>
      <c r="E144" s="2" t="s">
        <v>52</v>
      </c>
      <c r="F144" s="2" t="s">
        <v>22</v>
      </c>
      <c r="G144" s="2" t="s">
        <v>17</v>
      </c>
      <c r="H144" s="2" t="s">
        <v>28</v>
      </c>
      <c r="I144" s="2" t="n">
        <v>10</v>
      </c>
      <c r="J144" s="4" t="n">
        <v>3073</v>
      </c>
      <c r="K144" s="4" t="n">
        <f aca="false">I144*J144</f>
        <v>30730</v>
      </c>
      <c r="L144" s="2" t="str">
        <f aca="false">TEXT(B144,"MMM-YYYY")</f>
        <v>Dec-2025</v>
      </c>
    </row>
    <row r="145" customFormat="false" ht="15" hidden="false" customHeight="false" outlineLevel="0" collapsed="false">
      <c r="A145" s="2" t="s">
        <v>192</v>
      </c>
      <c r="B145" s="3" t="n">
        <v>46007</v>
      </c>
      <c r="C145" s="2" t="s">
        <v>61</v>
      </c>
      <c r="D145" s="2" t="s">
        <v>14</v>
      </c>
      <c r="E145" s="2" t="s">
        <v>31</v>
      </c>
      <c r="F145" s="2" t="s">
        <v>22</v>
      </c>
      <c r="G145" s="2" t="s">
        <v>32</v>
      </c>
      <c r="H145" s="2" t="s">
        <v>23</v>
      </c>
      <c r="I145" s="2" t="n">
        <v>2</v>
      </c>
      <c r="J145" s="4" t="n">
        <v>839</v>
      </c>
      <c r="K145" s="4" t="n">
        <f aca="false">I145*J145</f>
        <v>1678</v>
      </c>
      <c r="L145" s="2" t="str">
        <f aca="false">TEXT(B145,"MMM-YYYY")</f>
        <v>Dec-2025</v>
      </c>
    </row>
    <row r="146" customFormat="false" ht="15" hidden="false" customHeight="false" outlineLevel="0" collapsed="false">
      <c r="A146" s="2" t="s">
        <v>193</v>
      </c>
      <c r="B146" s="3" t="n">
        <v>46007</v>
      </c>
      <c r="C146" s="2" t="s">
        <v>61</v>
      </c>
      <c r="D146" s="2" t="s">
        <v>46</v>
      </c>
      <c r="E146" s="2" t="s">
        <v>56</v>
      </c>
      <c r="F146" s="2" t="s">
        <v>40</v>
      </c>
      <c r="G146" s="2" t="s">
        <v>17</v>
      </c>
      <c r="H146" s="2" t="s">
        <v>28</v>
      </c>
      <c r="I146" s="2" t="n">
        <v>8</v>
      </c>
      <c r="J146" s="4" t="n">
        <v>2272</v>
      </c>
      <c r="K146" s="4" t="n">
        <f aca="false">I146*J146</f>
        <v>18176</v>
      </c>
      <c r="L146" s="2" t="str">
        <f aca="false">TEXT(B146,"MMM-YYYY")</f>
        <v>Dec-2025</v>
      </c>
    </row>
    <row r="147" customFormat="false" ht="15" hidden="false" customHeight="false" outlineLevel="0" collapsed="false">
      <c r="A147" s="2" t="s">
        <v>194</v>
      </c>
      <c r="B147" s="3" t="n">
        <v>46008</v>
      </c>
      <c r="C147" s="2" t="s">
        <v>61</v>
      </c>
      <c r="D147" s="2" t="s">
        <v>14</v>
      </c>
      <c r="E147" s="2" t="s">
        <v>15</v>
      </c>
      <c r="F147" s="2" t="s">
        <v>38</v>
      </c>
      <c r="G147" s="2" t="s">
        <v>17</v>
      </c>
      <c r="H147" s="2" t="s">
        <v>23</v>
      </c>
      <c r="I147" s="2" t="n">
        <v>7</v>
      </c>
      <c r="J147" s="4" t="n">
        <v>809</v>
      </c>
      <c r="K147" s="4" t="n">
        <f aca="false">I147*J147</f>
        <v>5663</v>
      </c>
      <c r="L147" s="2" t="str">
        <f aca="false">TEXT(B147,"MMM-YYYY")</f>
        <v>Dec-2025</v>
      </c>
    </row>
    <row r="148" customFormat="false" ht="15" hidden="false" customHeight="false" outlineLevel="0" collapsed="false">
      <c r="A148" s="2" t="s">
        <v>195</v>
      </c>
      <c r="B148" s="3" t="n">
        <v>46009</v>
      </c>
      <c r="C148" s="2" t="s">
        <v>30</v>
      </c>
      <c r="D148" s="2" t="s">
        <v>14</v>
      </c>
      <c r="E148" s="2" t="s">
        <v>31</v>
      </c>
      <c r="F148" s="2" t="s">
        <v>57</v>
      </c>
      <c r="G148" s="2" t="s">
        <v>41</v>
      </c>
      <c r="H148" s="2" t="s">
        <v>28</v>
      </c>
      <c r="I148" s="2" t="n">
        <v>7</v>
      </c>
      <c r="J148" s="4" t="n">
        <v>787</v>
      </c>
      <c r="K148" s="4" t="n">
        <f aca="false">I148*J148</f>
        <v>5509</v>
      </c>
      <c r="L148" s="2" t="str">
        <f aca="false">TEXT(B148,"MMM-YYYY")</f>
        <v>Dec-2025</v>
      </c>
    </row>
    <row r="149" customFormat="false" ht="15" hidden="false" customHeight="false" outlineLevel="0" collapsed="false">
      <c r="A149" s="2" t="s">
        <v>196</v>
      </c>
      <c r="B149" s="3" t="n">
        <v>46009</v>
      </c>
      <c r="C149" s="2" t="s">
        <v>13</v>
      </c>
      <c r="D149" s="2" t="s">
        <v>46</v>
      </c>
      <c r="E149" s="2" t="s">
        <v>64</v>
      </c>
      <c r="F149" s="2" t="s">
        <v>16</v>
      </c>
      <c r="G149" s="2" t="s">
        <v>32</v>
      </c>
      <c r="H149" s="2" t="s">
        <v>23</v>
      </c>
      <c r="I149" s="2" t="n">
        <v>12</v>
      </c>
      <c r="J149" s="4" t="n">
        <v>1798</v>
      </c>
      <c r="K149" s="4" t="n">
        <f aca="false">I149*J149</f>
        <v>21576</v>
      </c>
      <c r="L149" s="2" t="str">
        <f aca="false">TEXT(B149,"MMM-YYYY")</f>
        <v>Dec-2025</v>
      </c>
    </row>
    <row r="150" customFormat="false" ht="15" hidden="false" customHeight="false" outlineLevel="0" collapsed="false">
      <c r="A150" s="2" t="s">
        <v>197</v>
      </c>
      <c r="B150" s="3" t="n">
        <v>46010</v>
      </c>
      <c r="C150" s="2" t="s">
        <v>13</v>
      </c>
      <c r="D150" s="2" t="s">
        <v>20</v>
      </c>
      <c r="E150" s="2" t="s">
        <v>21</v>
      </c>
      <c r="F150" s="2" t="s">
        <v>38</v>
      </c>
      <c r="G150" s="2" t="s">
        <v>32</v>
      </c>
      <c r="H150" s="2" t="s">
        <v>23</v>
      </c>
      <c r="I150" s="2" t="n">
        <v>9</v>
      </c>
      <c r="J150" s="4" t="n">
        <v>3675</v>
      </c>
      <c r="K150" s="4" t="n">
        <f aca="false">I150*J150</f>
        <v>33075</v>
      </c>
      <c r="L150" s="2" t="str">
        <f aca="false">TEXT(B150,"MMM-YYYY")</f>
        <v>Dec-2025</v>
      </c>
    </row>
    <row r="151" customFormat="false" ht="15" hidden="false" customHeight="false" outlineLevel="0" collapsed="false">
      <c r="A151" s="2" t="s">
        <v>198</v>
      </c>
      <c r="B151" s="3" t="n">
        <v>46011</v>
      </c>
      <c r="C151" s="2" t="s">
        <v>25</v>
      </c>
      <c r="D151" s="2" t="s">
        <v>46</v>
      </c>
      <c r="E151" s="2" t="s">
        <v>56</v>
      </c>
      <c r="F151" s="2" t="s">
        <v>22</v>
      </c>
      <c r="G151" s="2" t="s">
        <v>17</v>
      </c>
      <c r="H151" s="2" t="s">
        <v>23</v>
      </c>
      <c r="I151" s="2" t="n">
        <v>12</v>
      </c>
      <c r="J151" s="4" t="n">
        <v>2595</v>
      </c>
      <c r="K151" s="4" t="n">
        <f aca="false">I151*J151</f>
        <v>31140</v>
      </c>
      <c r="L151" s="2" t="str">
        <f aca="false">TEXT(B151,"MMM-YYYY")</f>
        <v>Dec-2025</v>
      </c>
    </row>
    <row r="152" customFormat="false" ht="15" hidden="false" customHeight="false" outlineLevel="0" collapsed="false">
      <c r="A152" s="2" t="s">
        <v>199</v>
      </c>
      <c r="B152" s="3" t="n">
        <v>46014</v>
      </c>
      <c r="C152" s="2" t="s">
        <v>30</v>
      </c>
      <c r="D152" s="2" t="s">
        <v>35</v>
      </c>
      <c r="E152" s="2" t="s">
        <v>52</v>
      </c>
      <c r="F152" s="2" t="s">
        <v>27</v>
      </c>
      <c r="G152" s="2" t="s">
        <v>32</v>
      </c>
      <c r="H152" s="2" t="s">
        <v>23</v>
      </c>
      <c r="I152" s="2" t="n">
        <v>12</v>
      </c>
      <c r="J152" s="4" t="n">
        <v>3443</v>
      </c>
      <c r="K152" s="4" t="n">
        <f aca="false">I152*J152</f>
        <v>41316</v>
      </c>
      <c r="L152" s="2" t="str">
        <f aca="false">TEXT(B152,"MMM-YYYY")</f>
        <v>Dec-2025</v>
      </c>
    </row>
    <row r="153" customFormat="false" ht="15" hidden="false" customHeight="false" outlineLevel="0" collapsed="false">
      <c r="A153" s="2" t="s">
        <v>200</v>
      </c>
      <c r="B153" s="3" t="n">
        <v>46014</v>
      </c>
      <c r="C153" s="2" t="s">
        <v>30</v>
      </c>
      <c r="D153" s="2" t="s">
        <v>46</v>
      </c>
      <c r="E153" s="2" t="s">
        <v>56</v>
      </c>
      <c r="F153" s="2" t="s">
        <v>57</v>
      </c>
      <c r="G153" s="2" t="s">
        <v>17</v>
      </c>
      <c r="H153" s="2" t="s">
        <v>33</v>
      </c>
      <c r="I153" s="2" t="n">
        <v>4</v>
      </c>
      <c r="J153" s="4" t="n">
        <v>2397</v>
      </c>
      <c r="K153" s="4" t="n">
        <f aca="false">I153*J153</f>
        <v>9588</v>
      </c>
      <c r="L153" s="2" t="str">
        <f aca="false">TEXT(B153,"MMM-YYYY")</f>
        <v>Dec-2025</v>
      </c>
    </row>
    <row r="154" customFormat="false" ht="15" hidden="false" customHeight="false" outlineLevel="0" collapsed="false">
      <c r="A154" s="2" t="s">
        <v>201</v>
      </c>
      <c r="B154" s="3" t="n">
        <v>46016</v>
      </c>
      <c r="C154" s="2" t="s">
        <v>30</v>
      </c>
      <c r="D154" s="2" t="s">
        <v>14</v>
      </c>
      <c r="E154" s="2" t="s">
        <v>31</v>
      </c>
      <c r="F154" s="2" t="s">
        <v>38</v>
      </c>
      <c r="G154" s="2" t="s">
        <v>41</v>
      </c>
      <c r="H154" s="2" t="s">
        <v>23</v>
      </c>
      <c r="I154" s="2" t="n">
        <v>4</v>
      </c>
      <c r="J154" s="4" t="n">
        <v>764</v>
      </c>
      <c r="K154" s="4" t="n">
        <f aca="false">I154*J154</f>
        <v>3056</v>
      </c>
      <c r="L154" s="2" t="str">
        <f aca="false">TEXT(B154,"MMM-YYYY")</f>
        <v>Dec-2025</v>
      </c>
    </row>
    <row r="155" customFormat="false" ht="15" hidden="false" customHeight="false" outlineLevel="0" collapsed="false">
      <c r="A155" s="2" t="s">
        <v>202</v>
      </c>
      <c r="B155" s="3" t="n">
        <v>46017</v>
      </c>
      <c r="C155" s="2" t="s">
        <v>30</v>
      </c>
      <c r="D155" s="2" t="s">
        <v>46</v>
      </c>
      <c r="E155" s="2" t="s">
        <v>47</v>
      </c>
      <c r="F155" s="2" t="s">
        <v>38</v>
      </c>
      <c r="G155" s="2" t="s">
        <v>17</v>
      </c>
      <c r="H155" s="2" t="s">
        <v>33</v>
      </c>
      <c r="I155" s="2" t="n">
        <v>7</v>
      </c>
      <c r="J155" s="4" t="n">
        <v>2364</v>
      </c>
      <c r="K155" s="4" t="n">
        <f aca="false">I155*J155</f>
        <v>16548</v>
      </c>
      <c r="L155" s="2" t="str">
        <f aca="false">TEXT(B155,"MMM-YYYY")</f>
        <v>Dec-2025</v>
      </c>
    </row>
    <row r="156" customFormat="false" ht="15" hidden="false" customHeight="false" outlineLevel="0" collapsed="false">
      <c r="A156" s="2" t="s">
        <v>203</v>
      </c>
      <c r="B156" s="3" t="n">
        <v>46017</v>
      </c>
      <c r="C156" s="2" t="s">
        <v>25</v>
      </c>
      <c r="D156" s="2" t="s">
        <v>46</v>
      </c>
      <c r="E156" s="2" t="s">
        <v>47</v>
      </c>
      <c r="F156" s="2" t="s">
        <v>27</v>
      </c>
      <c r="G156" s="2" t="s">
        <v>32</v>
      </c>
      <c r="H156" s="2" t="s">
        <v>33</v>
      </c>
      <c r="I156" s="2" t="n">
        <v>11</v>
      </c>
      <c r="J156" s="4" t="n">
        <v>2114</v>
      </c>
      <c r="K156" s="4" t="n">
        <f aca="false">I156*J156</f>
        <v>23254</v>
      </c>
      <c r="L156" s="2" t="str">
        <f aca="false">TEXT(B156,"MMM-YYYY")</f>
        <v>Dec-2025</v>
      </c>
    </row>
    <row r="157" customFormat="false" ht="15" hidden="false" customHeight="false" outlineLevel="0" collapsed="false">
      <c r="A157" s="2" t="s">
        <v>204</v>
      </c>
      <c r="B157" s="3" t="n">
        <v>46018</v>
      </c>
      <c r="C157" s="2" t="s">
        <v>13</v>
      </c>
      <c r="D157" s="2" t="s">
        <v>14</v>
      </c>
      <c r="E157" s="2" t="s">
        <v>31</v>
      </c>
      <c r="F157" s="2" t="s">
        <v>16</v>
      </c>
      <c r="G157" s="2" t="s">
        <v>41</v>
      </c>
      <c r="H157" s="2" t="s">
        <v>28</v>
      </c>
      <c r="I157" s="2" t="n">
        <v>1</v>
      </c>
      <c r="J157" s="4" t="n">
        <v>727</v>
      </c>
      <c r="K157" s="4" t="n">
        <f aca="false">I157*J157</f>
        <v>727</v>
      </c>
      <c r="L157" s="2" t="str">
        <f aca="false">TEXT(B157,"MMM-YYYY")</f>
        <v>Dec-2025</v>
      </c>
    </row>
    <row r="158" customFormat="false" ht="15" hidden="false" customHeight="false" outlineLevel="0" collapsed="false">
      <c r="A158" s="2" t="s">
        <v>205</v>
      </c>
      <c r="B158" s="3" t="n">
        <v>46018</v>
      </c>
      <c r="C158" s="2" t="s">
        <v>30</v>
      </c>
      <c r="D158" s="2" t="s">
        <v>14</v>
      </c>
      <c r="E158" s="2" t="s">
        <v>26</v>
      </c>
      <c r="F158" s="2" t="s">
        <v>16</v>
      </c>
      <c r="G158" s="2" t="s">
        <v>32</v>
      </c>
      <c r="H158" s="2" t="s">
        <v>28</v>
      </c>
      <c r="I158" s="2" t="n">
        <v>9</v>
      </c>
      <c r="J158" s="4" t="n">
        <v>875</v>
      </c>
      <c r="K158" s="4" t="n">
        <f aca="false">I158*J158</f>
        <v>7875</v>
      </c>
      <c r="L158" s="2" t="str">
        <f aca="false">TEXT(B158,"MMM-YYYY")</f>
        <v>Dec-2025</v>
      </c>
    </row>
    <row r="159" customFormat="false" ht="15" hidden="false" customHeight="false" outlineLevel="0" collapsed="false">
      <c r="A159" s="2" t="s">
        <v>206</v>
      </c>
      <c r="B159" s="3" t="n">
        <v>46018</v>
      </c>
      <c r="C159" s="2" t="s">
        <v>13</v>
      </c>
      <c r="D159" s="2" t="s">
        <v>46</v>
      </c>
      <c r="E159" s="2" t="s">
        <v>64</v>
      </c>
      <c r="F159" s="2" t="s">
        <v>57</v>
      </c>
      <c r="G159" s="2" t="s">
        <v>41</v>
      </c>
      <c r="H159" s="2" t="s">
        <v>18</v>
      </c>
      <c r="I159" s="2" t="n">
        <v>8</v>
      </c>
      <c r="J159" s="4" t="n">
        <v>2648</v>
      </c>
      <c r="K159" s="4" t="n">
        <f aca="false">I159*J159</f>
        <v>21184</v>
      </c>
      <c r="L159" s="2" t="str">
        <f aca="false">TEXT(B159,"MMM-YYYY")</f>
        <v>Dec-2025</v>
      </c>
    </row>
    <row r="160" customFormat="false" ht="15" hidden="false" customHeight="false" outlineLevel="0" collapsed="false">
      <c r="A160" s="2" t="s">
        <v>207</v>
      </c>
      <c r="B160" s="3" t="n">
        <v>46018</v>
      </c>
      <c r="C160" s="2" t="s">
        <v>13</v>
      </c>
      <c r="D160" s="2" t="s">
        <v>35</v>
      </c>
      <c r="E160" s="2" t="s">
        <v>52</v>
      </c>
      <c r="F160" s="2" t="s">
        <v>27</v>
      </c>
      <c r="G160" s="2" t="s">
        <v>41</v>
      </c>
      <c r="H160" s="2" t="s">
        <v>28</v>
      </c>
      <c r="I160" s="2" t="n">
        <v>7</v>
      </c>
      <c r="J160" s="4" t="n">
        <v>3152</v>
      </c>
      <c r="K160" s="4" t="n">
        <f aca="false">I160*J160</f>
        <v>22064</v>
      </c>
      <c r="L160" s="2" t="str">
        <f aca="false">TEXT(B160,"MMM-YYYY")</f>
        <v>Dec-2025</v>
      </c>
    </row>
    <row r="161" customFormat="false" ht="15" hidden="false" customHeight="false" outlineLevel="0" collapsed="false">
      <c r="A161" s="2" t="s">
        <v>208</v>
      </c>
      <c r="B161" s="3" t="n">
        <v>46018</v>
      </c>
      <c r="C161" s="2" t="s">
        <v>61</v>
      </c>
      <c r="D161" s="2" t="s">
        <v>14</v>
      </c>
      <c r="E161" s="2" t="s">
        <v>95</v>
      </c>
      <c r="F161" s="2" t="s">
        <v>27</v>
      </c>
      <c r="G161" s="2" t="s">
        <v>41</v>
      </c>
      <c r="H161" s="2" t="s">
        <v>28</v>
      </c>
      <c r="I161" s="2" t="n">
        <v>8</v>
      </c>
      <c r="J161" s="4" t="n">
        <v>726</v>
      </c>
      <c r="K161" s="4" t="n">
        <f aca="false">I161*J161</f>
        <v>5808</v>
      </c>
      <c r="L161" s="2" t="str">
        <f aca="false">TEXT(B161,"MMM-YYYY")</f>
        <v>Dec-2025</v>
      </c>
    </row>
    <row r="162" customFormat="false" ht="15" hidden="false" customHeight="false" outlineLevel="0" collapsed="false">
      <c r="A162" s="2" t="s">
        <v>209</v>
      </c>
      <c r="B162" s="3" t="n">
        <v>46020</v>
      </c>
      <c r="C162" s="2" t="s">
        <v>30</v>
      </c>
      <c r="D162" s="2" t="s">
        <v>46</v>
      </c>
      <c r="E162" s="2" t="s">
        <v>64</v>
      </c>
      <c r="F162" s="2" t="s">
        <v>38</v>
      </c>
      <c r="G162" s="2" t="s">
        <v>17</v>
      </c>
      <c r="H162" s="2" t="s">
        <v>28</v>
      </c>
      <c r="I162" s="2" t="n">
        <v>6</v>
      </c>
      <c r="J162" s="4" t="n">
        <v>2830</v>
      </c>
      <c r="K162" s="4" t="n">
        <f aca="false">I162*J162</f>
        <v>16980</v>
      </c>
      <c r="L162" s="2" t="str">
        <f aca="false">TEXT(B162,"MMM-YYYY")</f>
        <v>Dec-2025</v>
      </c>
    </row>
    <row r="163" customFormat="false" ht="15" hidden="false" customHeight="false" outlineLevel="0" collapsed="false">
      <c r="A163" s="2" t="s">
        <v>210</v>
      </c>
      <c r="B163" s="3" t="n">
        <v>46020</v>
      </c>
      <c r="C163" s="2" t="s">
        <v>25</v>
      </c>
      <c r="D163" s="2" t="s">
        <v>14</v>
      </c>
      <c r="E163" s="2" t="s">
        <v>26</v>
      </c>
      <c r="F163" s="2" t="s">
        <v>40</v>
      </c>
      <c r="G163" s="2" t="s">
        <v>41</v>
      </c>
      <c r="H163" s="2" t="s">
        <v>28</v>
      </c>
      <c r="I163" s="2" t="n">
        <v>1</v>
      </c>
      <c r="J163" s="4" t="n">
        <v>1043</v>
      </c>
      <c r="K163" s="4" t="n">
        <f aca="false">I163*J163</f>
        <v>1043</v>
      </c>
      <c r="L163" s="2" t="str">
        <f aca="false">TEXT(B163,"MMM-YYYY")</f>
        <v>Dec-2025</v>
      </c>
    </row>
    <row r="164" customFormat="false" ht="15" hidden="false" customHeight="false" outlineLevel="0" collapsed="false">
      <c r="A164" s="2" t="s">
        <v>211</v>
      </c>
      <c r="B164" s="3" t="n">
        <v>46024</v>
      </c>
      <c r="C164" s="2" t="s">
        <v>25</v>
      </c>
      <c r="D164" s="2" t="s">
        <v>35</v>
      </c>
      <c r="E164" s="2" t="s">
        <v>77</v>
      </c>
      <c r="F164" s="2" t="s">
        <v>16</v>
      </c>
      <c r="G164" s="2" t="s">
        <v>17</v>
      </c>
      <c r="H164" s="2" t="s">
        <v>28</v>
      </c>
      <c r="I164" s="2" t="n">
        <v>1</v>
      </c>
      <c r="J164" s="4" t="n">
        <v>2694</v>
      </c>
      <c r="K164" s="4" t="n">
        <f aca="false">I164*J164</f>
        <v>2694</v>
      </c>
      <c r="L164" s="2" t="str">
        <f aca="false">TEXT(B164,"MMM-YYYY")</f>
        <v>Jan-2026</v>
      </c>
    </row>
    <row r="165" customFormat="false" ht="15" hidden="false" customHeight="false" outlineLevel="0" collapsed="false">
      <c r="A165" s="2" t="s">
        <v>212</v>
      </c>
      <c r="B165" s="3" t="n">
        <v>46024</v>
      </c>
      <c r="C165" s="2" t="s">
        <v>13</v>
      </c>
      <c r="D165" s="2" t="s">
        <v>35</v>
      </c>
      <c r="E165" s="2" t="s">
        <v>36</v>
      </c>
      <c r="F165" s="2" t="s">
        <v>40</v>
      </c>
      <c r="G165" s="2" t="s">
        <v>41</v>
      </c>
      <c r="H165" s="2" t="s">
        <v>23</v>
      </c>
      <c r="I165" s="2" t="n">
        <v>5</v>
      </c>
      <c r="J165" s="4" t="n">
        <v>3436</v>
      </c>
      <c r="K165" s="4" t="n">
        <f aca="false">I165*J165</f>
        <v>17180</v>
      </c>
      <c r="L165" s="2" t="str">
        <f aca="false">TEXT(B165,"MMM-YYYY")</f>
        <v>Jan-2026</v>
      </c>
    </row>
    <row r="166" customFormat="false" ht="15" hidden="false" customHeight="false" outlineLevel="0" collapsed="false">
      <c r="A166" s="2" t="s">
        <v>213</v>
      </c>
      <c r="B166" s="3" t="n">
        <v>46025</v>
      </c>
      <c r="C166" s="2" t="s">
        <v>25</v>
      </c>
      <c r="D166" s="2" t="s">
        <v>35</v>
      </c>
      <c r="E166" s="2" t="s">
        <v>52</v>
      </c>
      <c r="F166" s="2" t="s">
        <v>22</v>
      </c>
      <c r="G166" s="2" t="s">
        <v>17</v>
      </c>
      <c r="H166" s="2" t="s">
        <v>23</v>
      </c>
      <c r="I166" s="2" t="n">
        <v>4</v>
      </c>
      <c r="J166" s="4" t="n">
        <v>2957</v>
      </c>
      <c r="K166" s="4" t="n">
        <f aca="false">I166*J166</f>
        <v>11828</v>
      </c>
      <c r="L166" s="2" t="str">
        <f aca="false">TEXT(B166,"MMM-YYYY")</f>
        <v>Jan-2026</v>
      </c>
    </row>
    <row r="167" customFormat="false" ht="15" hidden="false" customHeight="false" outlineLevel="0" collapsed="false">
      <c r="A167" s="2" t="s">
        <v>214</v>
      </c>
      <c r="B167" s="3" t="n">
        <v>46025</v>
      </c>
      <c r="C167" s="2" t="s">
        <v>30</v>
      </c>
      <c r="D167" s="2" t="s">
        <v>14</v>
      </c>
      <c r="E167" s="2" t="s">
        <v>31</v>
      </c>
      <c r="F167" s="2" t="s">
        <v>40</v>
      </c>
      <c r="G167" s="2" t="s">
        <v>32</v>
      </c>
      <c r="H167" s="2" t="s">
        <v>23</v>
      </c>
      <c r="I167" s="2" t="n">
        <v>10</v>
      </c>
      <c r="J167" s="4" t="n">
        <v>1098</v>
      </c>
      <c r="K167" s="4" t="n">
        <f aca="false">I167*J167</f>
        <v>10980</v>
      </c>
      <c r="L167" s="2" t="str">
        <f aca="false">TEXT(B167,"MMM-YYYY")</f>
        <v>Jan-2026</v>
      </c>
    </row>
    <row r="168" customFormat="false" ht="15" hidden="false" customHeight="false" outlineLevel="0" collapsed="false">
      <c r="A168" s="2" t="s">
        <v>215</v>
      </c>
      <c r="B168" s="3" t="n">
        <v>46028</v>
      </c>
      <c r="C168" s="2" t="s">
        <v>30</v>
      </c>
      <c r="D168" s="2" t="s">
        <v>14</v>
      </c>
      <c r="E168" s="2" t="s">
        <v>26</v>
      </c>
      <c r="F168" s="2" t="s">
        <v>40</v>
      </c>
      <c r="G168" s="2" t="s">
        <v>32</v>
      </c>
      <c r="H168" s="2" t="s">
        <v>33</v>
      </c>
      <c r="I168" s="2" t="n">
        <v>7</v>
      </c>
      <c r="J168" s="4" t="n">
        <v>1055</v>
      </c>
      <c r="K168" s="4" t="n">
        <f aca="false">I168*J168</f>
        <v>7385</v>
      </c>
      <c r="L168" s="2" t="str">
        <f aca="false">TEXT(B168,"MMM-YYYY")</f>
        <v>Jan-2026</v>
      </c>
    </row>
    <row r="169" customFormat="false" ht="15" hidden="false" customHeight="false" outlineLevel="0" collapsed="false">
      <c r="A169" s="2" t="s">
        <v>216</v>
      </c>
      <c r="B169" s="3" t="n">
        <v>46028</v>
      </c>
      <c r="C169" s="2" t="s">
        <v>25</v>
      </c>
      <c r="D169" s="2" t="s">
        <v>20</v>
      </c>
      <c r="E169" s="2" t="s">
        <v>43</v>
      </c>
      <c r="F169" s="2" t="s">
        <v>38</v>
      </c>
      <c r="G169" s="2" t="s">
        <v>17</v>
      </c>
      <c r="H169" s="2" t="s">
        <v>33</v>
      </c>
      <c r="I169" s="2" t="n">
        <v>10</v>
      </c>
      <c r="J169" s="4" t="n">
        <v>4980</v>
      </c>
      <c r="K169" s="4" t="n">
        <f aca="false">I169*J169</f>
        <v>49800</v>
      </c>
      <c r="L169" s="2" t="str">
        <f aca="false">TEXT(B169,"MMM-YYYY")</f>
        <v>Jan-2026</v>
      </c>
    </row>
    <row r="170" customFormat="false" ht="15" hidden="false" customHeight="false" outlineLevel="0" collapsed="false">
      <c r="A170" s="2" t="s">
        <v>217</v>
      </c>
      <c r="B170" s="3" t="n">
        <v>46030</v>
      </c>
      <c r="C170" s="2" t="s">
        <v>13</v>
      </c>
      <c r="D170" s="2" t="s">
        <v>35</v>
      </c>
      <c r="E170" s="2" t="s">
        <v>77</v>
      </c>
      <c r="F170" s="2" t="s">
        <v>27</v>
      </c>
      <c r="G170" s="2" t="s">
        <v>41</v>
      </c>
      <c r="H170" s="2" t="s">
        <v>18</v>
      </c>
      <c r="I170" s="2" t="n">
        <v>2</v>
      </c>
      <c r="J170" s="4" t="n">
        <v>3563</v>
      </c>
      <c r="K170" s="4" t="n">
        <f aca="false">I170*J170</f>
        <v>7126</v>
      </c>
      <c r="L170" s="2" t="str">
        <f aca="false">TEXT(B170,"MMM-YYYY")</f>
        <v>Jan-2026</v>
      </c>
    </row>
    <row r="171" customFormat="false" ht="15" hidden="false" customHeight="false" outlineLevel="0" collapsed="false">
      <c r="A171" s="2" t="s">
        <v>218</v>
      </c>
      <c r="B171" s="3" t="n">
        <v>46030</v>
      </c>
      <c r="C171" s="2" t="s">
        <v>30</v>
      </c>
      <c r="D171" s="2" t="s">
        <v>14</v>
      </c>
      <c r="E171" s="2" t="s">
        <v>31</v>
      </c>
      <c r="F171" s="2" t="s">
        <v>57</v>
      </c>
      <c r="G171" s="2" t="s">
        <v>17</v>
      </c>
      <c r="H171" s="2" t="s">
        <v>23</v>
      </c>
      <c r="I171" s="2" t="n">
        <v>4</v>
      </c>
      <c r="J171" s="4" t="n">
        <v>784</v>
      </c>
      <c r="K171" s="4" t="n">
        <f aca="false">I171*J171</f>
        <v>3136</v>
      </c>
      <c r="L171" s="2" t="str">
        <f aca="false">TEXT(B171,"MMM-YYYY")</f>
        <v>Jan-2026</v>
      </c>
    </row>
    <row r="172" customFormat="false" ht="15" hidden="false" customHeight="false" outlineLevel="0" collapsed="false">
      <c r="A172" s="2" t="s">
        <v>219</v>
      </c>
      <c r="B172" s="3" t="n">
        <v>46031</v>
      </c>
      <c r="C172" s="2" t="s">
        <v>13</v>
      </c>
      <c r="D172" s="2" t="s">
        <v>35</v>
      </c>
      <c r="E172" s="2" t="s">
        <v>77</v>
      </c>
      <c r="F172" s="2" t="s">
        <v>38</v>
      </c>
      <c r="G172" s="2" t="s">
        <v>32</v>
      </c>
      <c r="H172" s="2" t="s">
        <v>23</v>
      </c>
      <c r="I172" s="2" t="n">
        <v>2</v>
      </c>
      <c r="J172" s="4" t="n">
        <v>2749</v>
      </c>
      <c r="K172" s="4" t="n">
        <f aca="false">I172*J172</f>
        <v>5498</v>
      </c>
      <c r="L172" s="2" t="str">
        <f aca="false">TEXT(B172,"MMM-YYYY")</f>
        <v>Jan-2026</v>
      </c>
    </row>
    <row r="173" customFormat="false" ht="15" hidden="false" customHeight="false" outlineLevel="0" collapsed="false">
      <c r="A173" s="2" t="s">
        <v>220</v>
      </c>
      <c r="B173" s="3" t="n">
        <v>46032</v>
      </c>
      <c r="C173" s="2" t="s">
        <v>25</v>
      </c>
      <c r="D173" s="2" t="s">
        <v>20</v>
      </c>
      <c r="E173" s="2" t="s">
        <v>75</v>
      </c>
      <c r="F173" s="2" t="s">
        <v>27</v>
      </c>
      <c r="G173" s="2" t="s">
        <v>32</v>
      </c>
      <c r="H173" s="2" t="s">
        <v>18</v>
      </c>
      <c r="I173" s="2" t="n">
        <v>8</v>
      </c>
      <c r="J173" s="4" t="n">
        <v>4040</v>
      </c>
      <c r="K173" s="4" t="n">
        <f aca="false">I173*J173</f>
        <v>32320</v>
      </c>
      <c r="L173" s="2" t="str">
        <f aca="false">TEXT(B173,"MMM-YYYY")</f>
        <v>Jan-2026</v>
      </c>
    </row>
    <row r="174" customFormat="false" ht="15" hidden="false" customHeight="false" outlineLevel="0" collapsed="false">
      <c r="A174" s="2" t="s">
        <v>221</v>
      </c>
      <c r="B174" s="3" t="n">
        <v>46033</v>
      </c>
      <c r="C174" s="2" t="s">
        <v>13</v>
      </c>
      <c r="D174" s="2" t="s">
        <v>46</v>
      </c>
      <c r="E174" s="2" t="s">
        <v>64</v>
      </c>
      <c r="F174" s="2" t="s">
        <v>16</v>
      </c>
      <c r="G174" s="2" t="s">
        <v>41</v>
      </c>
      <c r="H174" s="2" t="s">
        <v>18</v>
      </c>
      <c r="I174" s="2" t="n">
        <v>12</v>
      </c>
      <c r="J174" s="4" t="n">
        <v>2596</v>
      </c>
      <c r="K174" s="4" t="n">
        <f aca="false">I174*J174</f>
        <v>31152</v>
      </c>
      <c r="L174" s="2" t="str">
        <f aca="false">TEXT(B174,"MMM-YYYY")</f>
        <v>Jan-2026</v>
      </c>
    </row>
    <row r="175" customFormat="false" ht="15" hidden="false" customHeight="false" outlineLevel="0" collapsed="false">
      <c r="A175" s="2" t="s">
        <v>222</v>
      </c>
      <c r="B175" s="3" t="n">
        <v>46034</v>
      </c>
      <c r="C175" s="2" t="s">
        <v>25</v>
      </c>
      <c r="D175" s="2" t="s">
        <v>14</v>
      </c>
      <c r="E175" s="2" t="s">
        <v>26</v>
      </c>
      <c r="F175" s="2" t="s">
        <v>16</v>
      </c>
      <c r="G175" s="2" t="s">
        <v>32</v>
      </c>
      <c r="H175" s="2" t="s">
        <v>18</v>
      </c>
      <c r="I175" s="2" t="n">
        <v>7</v>
      </c>
      <c r="J175" s="4" t="n">
        <v>734</v>
      </c>
      <c r="K175" s="4" t="n">
        <f aca="false">I175*J175</f>
        <v>5138</v>
      </c>
      <c r="L175" s="2" t="str">
        <f aca="false">TEXT(B175,"MMM-YYYY")</f>
        <v>Jan-2026</v>
      </c>
    </row>
    <row r="176" customFormat="false" ht="15" hidden="false" customHeight="false" outlineLevel="0" collapsed="false">
      <c r="A176" s="2" t="s">
        <v>223</v>
      </c>
      <c r="B176" s="3" t="n">
        <v>46035</v>
      </c>
      <c r="C176" s="2" t="s">
        <v>61</v>
      </c>
      <c r="D176" s="2" t="s">
        <v>35</v>
      </c>
      <c r="E176" s="2" t="s">
        <v>36</v>
      </c>
      <c r="F176" s="2" t="s">
        <v>22</v>
      </c>
      <c r="G176" s="2" t="s">
        <v>41</v>
      </c>
      <c r="H176" s="2" t="s">
        <v>18</v>
      </c>
      <c r="I176" s="2" t="n">
        <v>6</v>
      </c>
      <c r="J176" s="4" t="n">
        <v>3056</v>
      </c>
      <c r="K176" s="4" t="n">
        <f aca="false">I176*J176</f>
        <v>18336</v>
      </c>
      <c r="L176" s="2" t="str">
        <f aca="false">TEXT(B176,"MMM-YYYY")</f>
        <v>Jan-2026</v>
      </c>
    </row>
    <row r="177" customFormat="false" ht="15" hidden="false" customHeight="false" outlineLevel="0" collapsed="false">
      <c r="A177" s="2" t="s">
        <v>224</v>
      </c>
      <c r="B177" s="3" t="n">
        <v>46035</v>
      </c>
      <c r="C177" s="2" t="s">
        <v>30</v>
      </c>
      <c r="D177" s="2" t="s">
        <v>35</v>
      </c>
      <c r="E177" s="2" t="s">
        <v>52</v>
      </c>
      <c r="F177" s="2" t="s">
        <v>27</v>
      </c>
      <c r="G177" s="2" t="s">
        <v>17</v>
      </c>
      <c r="H177" s="2" t="s">
        <v>28</v>
      </c>
      <c r="I177" s="2" t="n">
        <v>8</v>
      </c>
      <c r="J177" s="4" t="n">
        <v>3140</v>
      </c>
      <c r="K177" s="4" t="n">
        <f aca="false">I177*J177</f>
        <v>25120</v>
      </c>
      <c r="L177" s="2" t="str">
        <f aca="false">TEXT(B177,"MMM-YYYY")</f>
        <v>Jan-2026</v>
      </c>
    </row>
    <row r="178" customFormat="false" ht="15" hidden="false" customHeight="false" outlineLevel="0" collapsed="false">
      <c r="A178" s="2" t="s">
        <v>225</v>
      </c>
      <c r="B178" s="3" t="n">
        <v>46035</v>
      </c>
      <c r="C178" s="2" t="s">
        <v>25</v>
      </c>
      <c r="D178" s="2" t="s">
        <v>46</v>
      </c>
      <c r="E178" s="2" t="s">
        <v>50</v>
      </c>
      <c r="F178" s="2" t="s">
        <v>22</v>
      </c>
      <c r="G178" s="2" t="s">
        <v>41</v>
      </c>
      <c r="H178" s="2" t="s">
        <v>33</v>
      </c>
      <c r="I178" s="2" t="n">
        <v>11</v>
      </c>
      <c r="J178" s="4" t="n">
        <v>2710</v>
      </c>
      <c r="K178" s="4" t="n">
        <f aca="false">I178*J178</f>
        <v>29810</v>
      </c>
      <c r="L178" s="2" t="str">
        <f aca="false">TEXT(B178,"MMM-YYYY")</f>
        <v>Jan-2026</v>
      </c>
    </row>
    <row r="179" customFormat="false" ht="15" hidden="false" customHeight="false" outlineLevel="0" collapsed="false">
      <c r="A179" s="2" t="s">
        <v>226</v>
      </c>
      <c r="B179" s="3" t="n">
        <v>46037</v>
      </c>
      <c r="C179" s="2" t="s">
        <v>61</v>
      </c>
      <c r="D179" s="2" t="s">
        <v>46</v>
      </c>
      <c r="E179" s="2" t="s">
        <v>56</v>
      </c>
      <c r="F179" s="2" t="s">
        <v>16</v>
      </c>
      <c r="G179" s="2" t="s">
        <v>17</v>
      </c>
      <c r="H179" s="2" t="s">
        <v>33</v>
      </c>
      <c r="I179" s="2" t="n">
        <v>1</v>
      </c>
      <c r="J179" s="4" t="n">
        <v>2682</v>
      </c>
      <c r="K179" s="4" t="n">
        <f aca="false">I179*J179</f>
        <v>2682</v>
      </c>
      <c r="L179" s="2" t="str">
        <f aca="false">TEXT(B179,"MMM-YYYY")</f>
        <v>Jan-2026</v>
      </c>
    </row>
    <row r="180" customFormat="false" ht="15" hidden="false" customHeight="false" outlineLevel="0" collapsed="false">
      <c r="A180" s="2" t="s">
        <v>227</v>
      </c>
      <c r="B180" s="3" t="n">
        <v>46039</v>
      </c>
      <c r="C180" s="2" t="s">
        <v>13</v>
      </c>
      <c r="D180" s="2" t="s">
        <v>46</v>
      </c>
      <c r="E180" s="2" t="s">
        <v>50</v>
      </c>
      <c r="F180" s="2" t="s">
        <v>22</v>
      </c>
      <c r="G180" s="2" t="s">
        <v>41</v>
      </c>
      <c r="H180" s="2" t="s">
        <v>23</v>
      </c>
      <c r="I180" s="2" t="n">
        <v>2</v>
      </c>
      <c r="J180" s="4" t="n">
        <v>1852</v>
      </c>
      <c r="K180" s="4" t="n">
        <f aca="false">I180*J180</f>
        <v>3704</v>
      </c>
      <c r="L180" s="2" t="str">
        <f aca="false">TEXT(B180,"MMM-YYYY")</f>
        <v>Jan-2026</v>
      </c>
    </row>
    <row r="181" customFormat="false" ht="15" hidden="false" customHeight="false" outlineLevel="0" collapsed="false">
      <c r="A181" s="2" t="s">
        <v>228</v>
      </c>
      <c r="B181" s="3" t="n">
        <v>46039</v>
      </c>
      <c r="C181" s="2" t="s">
        <v>30</v>
      </c>
      <c r="D181" s="2" t="s">
        <v>14</v>
      </c>
      <c r="E181" s="2" t="s">
        <v>31</v>
      </c>
      <c r="F181" s="2" t="s">
        <v>27</v>
      </c>
      <c r="G181" s="2" t="s">
        <v>32</v>
      </c>
      <c r="H181" s="2" t="s">
        <v>18</v>
      </c>
      <c r="I181" s="2" t="n">
        <v>8</v>
      </c>
      <c r="J181" s="4" t="n">
        <v>747</v>
      </c>
      <c r="K181" s="4" t="n">
        <f aca="false">I181*J181</f>
        <v>5976</v>
      </c>
      <c r="L181" s="2" t="str">
        <f aca="false">TEXT(B181,"MMM-YYYY")</f>
        <v>Jan-2026</v>
      </c>
    </row>
    <row r="182" customFormat="false" ht="15" hidden="false" customHeight="false" outlineLevel="0" collapsed="false">
      <c r="A182" s="2" t="s">
        <v>229</v>
      </c>
      <c r="B182" s="3" t="n">
        <v>46039</v>
      </c>
      <c r="C182" s="2" t="s">
        <v>13</v>
      </c>
      <c r="D182" s="2" t="s">
        <v>14</v>
      </c>
      <c r="E182" s="2" t="s">
        <v>95</v>
      </c>
      <c r="F182" s="2" t="s">
        <v>16</v>
      </c>
      <c r="G182" s="2" t="s">
        <v>17</v>
      </c>
      <c r="H182" s="2" t="s">
        <v>33</v>
      </c>
      <c r="I182" s="2" t="n">
        <v>1</v>
      </c>
      <c r="J182" s="4" t="n">
        <v>732</v>
      </c>
      <c r="K182" s="4" t="n">
        <f aca="false">I182*J182</f>
        <v>732</v>
      </c>
      <c r="L182" s="2" t="str">
        <f aca="false">TEXT(B182,"MMM-YYYY")</f>
        <v>Jan-2026</v>
      </c>
    </row>
    <row r="183" customFormat="false" ht="15" hidden="false" customHeight="false" outlineLevel="0" collapsed="false">
      <c r="A183" s="2" t="s">
        <v>230</v>
      </c>
      <c r="B183" s="3" t="n">
        <v>46040</v>
      </c>
      <c r="C183" s="2" t="s">
        <v>61</v>
      </c>
      <c r="D183" s="2" t="s">
        <v>35</v>
      </c>
      <c r="E183" s="2" t="s">
        <v>72</v>
      </c>
      <c r="F183" s="2" t="s">
        <v>27</v>
      </c>
      <c r="G183" s="2" t="s">
        <v>17</v>
      </c>
      <c r="H183" s="2" t="s">
        <v>18</v>
      </c>
      <c r="I183" s="2" t="n">
        <v>3</v>
      </c>
      <c r="J183" s="4" t="n">
        <v>2719</v>
      </c>
      <c r="K183" s="4" t="n">
        <f aca="false">I183*J183</f>
        <v>8157</v>
      </c>
      <c r="L183" s="2" t="str">
        <f aca="false">TEXT(B183,"MMM-YYYY")</f>
        <v>Jan-2026</v>
      </c>
    </row>
    <row r="184" customFormat="false" ht="15" hidden="false" customHeight="false" outlineLevel="0" collapsed="false">
      <c r="A184" s="2" t="s">
        <v>231</v>
      </c>
      <c r="B184" s="3" t="n">
        <v>46042</v>
      </c>
      <c r="C184" s="2" t="s">
        <v>30</v>
      </c>
      <c r="D184" s="2" t="s">
        <v>14</v>
      </c>
      <c r="E184" s="2" t="s">
        <v>15</v>
      </c>
      <c r="F184" s="2" t="s">
        <v>38</v>
      </c>
      <c r="G184" s="2" t="s">
        <v>41</v>
      </c>
      <c r="H184" s="2" t="s">
        <v>28</v>
      </c>
      <c r="I184" s="2" t="n">
        <v>11</v>
      </c>
      <c r="J184" s="4" t="n">
        <v>758</v>
      </c>
      <c r="K184" s="4" t="n">
        <f aca="false">I184*J184</f>
        <v>8338</v>
      </c>
      <c r="L184" s="2" t="str">
        <f aca="false">TEXT(B184,"MMM-YYYY")</f>
        <v>Jan-2026</v>
      </c>
    </row>
    <row r="185" customFormat="false" ht="15" hidden="false" customHeight="false" outlineLevel="0" collapsed="false">
      <c r="A185" s="2" t="s">
        <v>232</v>
      </c>
      <c r="B185" s="3" t="n">
        <v>46043</v>
      </c>
      <c r="C185" s="2" t="s">
        <v>61</v>
      </c>
      <c r="D185" s="2" t="s">
        <v>46</v>
      </c>
      <c r="E185" s="2" t="s">
        <v>56</v>
      </c>
      <c r="F185" s="2" t="s">
        <v>40</v>
      </c>
      <c r="G185" s="2" t="s">
        <v>17</v>
      </c>
      <c r="H185" s="2" t="s">
        <v>28</v>
      </c>
      <c r="I185" s="2" t="n">
        <v>5</v>
      </c>
      <c r="J185" s="4" t="n">
        <v>2169</v>
      </c>
      <c r="K185" s="4" t="n">
        <f aca="false">I185*J185</f>
        <v>10845</v>
      </c>
      <c r="L185" s="2" t="str">
        <f aca="false">TEXT(B185,"MMM-YYYY")</f>
        <v>Jan-2026</v>
      </c>
    </row>
    <row r="186" customFormat="false" ht="15" hidden="false" customHeight="false" outlineLevel="0" collapsed="false">
      <c r="A186" s="2" t="s">
        <v>233</v>
      </c>
      <c r="B186" s="3" t="n">
        <v>46043</v>
      </c>
      <c r="C186" s="2" t="s">
        <v>30</v>
      </c>
      <c r="D186" s="2" t="s">
        <v>46</v>
      </c>
      <c r="E186" s="2" t="s">
        <v>56</v>
      </c>
      <c r="F186" s="2" t="s">
        <v>40</v>
      </c>
      <c r="G186" s="2" t="s">
        <v>17</v>
      </c>
      <c r="H186" s="2" t="s">
        <v>28</v>
      </c>
      <c r="I186" s="2" t="n">
        <v>1</v>
      </c>
      <c r="J186" s="4" t="n">
        <v>2247</v>
      </c>
      <c r="K186" s="4" t="n">
        <f aca="false">I186*J186</f>
        <v>2247</v>
      </c>
      <c r="L186" s="2" t="str">
        <f aca="false">TEXT(B186,"MMM-YYYY")</f>
        <v>Jan-2026</v>
      </c>
    </row>
    <row r="187" customFormat="false" ht="15" hidden="false" customHeight="false" outlineLevel="0" collapsed="false">
      <c r="A187" s="2" t="s">
        <v>234</v>
      </c>
      <c r="B187" s="3" t="n">
        <v>46044</v>
      </c>
      <c r="C187" s="2" t="s">
        <v>13</v>
      </c>
      <c r="D187" s="2" t="s">
        <v>35</v>
      </c>
      <c r="E187" s="2" t="s">
        <v>52</v>
      </c>
      <c r="F187" s="2" t="s">
        <v>57</v>
      </c>
      <c r="G187" s="2" t="s">
        <v>17</v>
      </c>
      <c r="H187" s="2" t="s">
        <v>18</v>
      </c>
      <c r="I187" s="2" t="n">
        <v>7</v>
      </c>
      <c r="J187" s="4" t="n">
        <v>2546</v>
      </c>
      <c r="K187" s="4" t="n">
        <f aca="false">I187*J187</f>
        <v>17822</v>
      </c>
      <c r="L187" s="2" t="str">
        <f aca="false">TEXT(B187,"MMM-YYYY")</f>
        <v>Jan-2026</v>
      </c>
    </row>
    <row r="188" customFormat="false" ht="15" hidden="false" customHeight="false" outlineLevel="0" collapsed="false">
      <c r="A188" s="2" t="s">
        <v>235</v>
      </c>
      <c r="B188" s="3" t="n">
        <v>46045</v>
      </c>
      <c r="C188" s="2" t="s">
        <v>30</v>
      </c>
      <c r="D188" s="2" t="s">
        <v>46</v>
      </c>
      <c r="E188" s="2" t="s">
        <v>64</v>
      </c>
      <c r="F188" s="2" t="s">
        <v>38</v>
      </c>
      <c r="G188" s="2" t="s">
        <v>32</v>
      </c>
      <c r="H188" s="2" t="s">
        <v>28</v>
      </c>
      <c r="I188" s="2" t="n">
        <v>8</v>
      </c>
      <c r="J188" s="4" t="n">
        <v>2373</v>
      </c>
      <c r="K188" s="4" t="n">
        <f aca="false">I188*J188</f>
        <v>18984</v>
      </c>
      <c r="L188" s="2" t="str">
        <f aca="false">TEXT(B188,"MMM-YYYY")</f>
        <v>Jan-2026</v>
      </c>
    </row>
    <row r="189" customFormat="false" ht="15" hidden="false" customHeight="false" outlineLevel="0" collapsed="false">
      <c r="A189" s="2" t="s">
        <v>236</v>
      </c>
      <c r="B189" s="3" t="n">
        <v>46045</v>
      </c>
      <c r="C189" s="2" t="s">
        <v>61</v>
      </c>
      <c r="D189" s="2" t="s">
        <v>35</v>
      </c>
      <c r="E189" s="2" t="s">
        <v>77</v>
      </c>
      <c r="F189" s="2" t="s">
        <v>22</v>
      </c>
      <c r="G189" s="2" t="s">
        <v>41</v>
      </c>
      <c r="H189" s="2" t="s">
        <v>18</v>
      </c>
      <c r="I189" s="2" t="n">
        <v>2</v>
      </c>
      <c r="J189" s="4" t="n">
        <v>2495</v>
      </c>
      <c r="K189" s="4" t="n">
        <f aca="false">I189*J189</f>
        <v>4990</v>
      </c>
      <c r="L189" s="2" t="str">
        <f aca="false">TEXT(B189,"MMM-YYYY")</f>
        <v>Jan-2026</v>
      </c>
    </row>
    <row r="190" customFormat="false" ht="15" hidden="false" customHeight="false" outlineLevel="0" collapsed="false">
      <c r="A190" s="2" t="s">
        <v>237</v>
      </c>
      <c r="B190" s="3" t="n">
        <v>46046</v>
      </c>
      <c r="C190" s="2" t="s">
        <v>25</v>
      </c>
      <c r="D190" s="2" t="s">
        <v>46</v>
      </c>
      <c r="E190" s="2" t="s">
        <v>47</v>
      </c>
      <c r="F190" s="2" t="s">
        <v>40</v>
      </c>
      <c r="G190" s="2" t="s">
        <v>32</v>
      </c>
      <c r="H190" s="2" t="s">
        <v>23</v>
      </c>
      <c r="I190" s="2" t="n">
        <v>5</v>
      </c>
      <c r="J190" s="4" t="n">
        <v>2340</v>
      </c>
      <c r="K190" s="4" t="n">
        <f aca="false">I190*J190</f>
        <v>11700</v>
      </c>
      <c r="L190" s="2" t="str">
        <f aca="false">TEXT(B190,"MMM-YYYY")</f>
        <v>Jan-2026</v>
      </c>
    </row>
    <row r="191" customFormat="false" ht="15" hidden="false" customHeight="false" outlineLevel="0" collapsed="false">
      <c r="A191" s="2" t="s">
        <v>238</v>
      </c>
      <c r="B191" s="3" t="n">
        <v>46048</v>
      </c>
      <c r="C191" s="2" t="s">
        <v>61</v>
      </c>
      <c r="D191" s="2" t="s">
        <v>35</v>
      </c>
      <c r="E191" s="2" t="s">
        <v>52</v>
      </c>
      <c r="F191" s="2" t="s">
        <v>40</v>
      </c>
      <c r="G191" s="2" t="s">
        <v>32</v>
      </c>
      <c r="H191" s="2" t="s">
        <v>33</v>
      </c>
      <c r="I191" s="2" t="n">
        <v>9</v>
      </c>
      <c r="J191" s="4" t="n">
        <v>2316</v>
      </c>
      <c r="K191" s="4" t="n">
        <f aca="false">I191*J191</f>
        <v>20844</v>
      </c>
      <c r="L191" s="2" t="str">
        <f aca="false">TEXT(B191,"MMM-YYYY")</f>
        <v>Jan-2026</v>
      </c>
    </row>
    <row r="192" customFormat="false" ht="15" hidden="false" customHeight="false" outlineLevel="0" collapsed="false">
      <c r="A192" s="2" t="s">
        <v>239</v>
      </c>
      <c r="B192" s="3" t="n">
        <v>46048</v>
      </c>
      <c r="C192" s="2" t="s">
        <v>13</v>
      </c>
      <c r="D192" s="2" t="s">
        <v>35</v>
      </c>
      <c r="E192" s="2" t="s">
        <v>72</v>
      </c>
      <c r="F192" s="2" t="s">
        <v>57</v>
      </c>
      <c r="G192" s="2" t="s">
        <v>17</v>
      </c>
      <c r="H192" s="2" t="s">
        <v>28</v>
      </c>
      <c r="I192" s="2" t="n">
        <v>9</v>
      </c>
      <c r="J192" s="4" t="n">
        <v>2527</v>
      </c>
      <c r="K192" s="4" t="n">
        <f aca="false">I192*J192</f>
        <v>22743</v>
      </c>
      <c r="L192" s="2" t="str">
        <f aca="false">TEXT(B192,"MMM-YYYY")</f>
        <v>Jan-2026</v>
      </c>
    </row>
    <row r="193" customFormat="false" ht="15" hidden="false" customHeight="false" outlineLevel="0" collapsed="false">
      <c r="A193" s="2" t="s">
        <v>240</v>
      </c>
      <c r="B193" s="3" t="n">
        <v>46051</v>
      </c>
      <c r="C193" s="2" t="s">
        <v>30</v>
      </c>
      <c r="D193" s="2" t="s">
        <v>46</v>
      </c>
      <c r="E193" s="2" t="s">
        <v>50</v>
      </c>
      <c r="F193" s="2" t="s">
        <v>27</v>
      </c>
      <c r="G193" s="2" t="s">
        <v>17</v>
      </c>
      <c r="H193" s="2" t="s">
        <v>23</v>
      </c>
      <c r="I193" s="2" t="n">
        <v>8</v>
      </c>
      <c r="J193" s="4" t="n">
        <v>2446</v>
      </c>
      <c r="K193" s="4" t="n">
        <f aca="false">I193*J193</f>
        <v>19568</v>
      </c>
      <c r="L193" s="2" t="str">
        <f aca="false">TEXT(B193,"MMM-YYYY")</f>
        <v>Jan-2026</v>
      </c>
    </row>
    <row r="194" customFormat="false" ht="15" hidden="false" customHeight="false" outlineLevel="0" collapsed="false">
      <c r="A194" s="2" t="s">
        <v>241</v>
      </c>
      <c r="B194" s="3" t="n">
        <v>46051</v>
      </c>
      <c r="C194" s="2" t="s">
        <v>30</v>
      </c>
      <c r="D194" s="2" t="s">
        <v>14</v>
      </c>
      <c r="E194" s="2" t="s">
        <v>31</v>
      </c>
      <c r="F194" s="2" t="s">
        <v>40</v>
      </c>
      <c r="G194" s="2" t="s">
        <v>32</v>
      </c>
      <c r="H194" s="2" t="s">
        <v>28</v>
      </c>
      <c r="I194" s="2" t="n">
        <v>2</v>
      </c>
      <c r="J194" s="4" t="n">
        <v>828</v>
      </c>
      <c r="K194" s="4" t="n">
        <f aca="false">I194*J194</f>
        <v>1656</v>
      </c>
      <c r="L194" s="2" t="str">
        <f aca="false">TEXT(B194,"MMM-YYYY")</f>
        <v>Jan-2026</v>
      </c>
    </row>
    <row r="195" customFormat="false" ht="15" hidden="false" customHeight="false" outlineLevel="0" collapsed="false">
      <c r="A195" s="2" t="s">
        <v>242</v>
      </c>
      <c r="B195" s="3" t="n">
        <v>46052</v>
      </c>
      <c r="C195" s="2" t="s">
        <v>13</v>
      </c>
      <c r="D195" s="2" t="s">
        <v>14</v>
      </c>
      <c r="E195" s="2" t="s">
        <v>15</v>
      </c>
      <c r="F195" s="2" t="s">
        <v>16</v>
      </c>
      <c r="G195" s="2" t="s">
        <v>32</v>
      </c>
      <c r="H195" s="2" t="s">
        <v>33</v>
      </c>
      <c r="I195" s="2" t="n">
        <v>12</v>
      </c>
      <c r="J195" s="4" t="n">
        <v>728</v>
      </c>
      <c r="K195" s="4" t="n">
        <f aca="false">I195*J195</f>
        <v>8736</v>
      </c>
      <c r="L195" s="2" t="str">
        <f aca="false">TEXT(B195,"MMM-YYYY")</f>
        <v>Jan-2026</v>
      </c>
    </row>
    <row r="196" customFormat="false" ht="15" hidden="false" customHeight="false" outlineLevel="0" collapsed="false">
      <c r="A196" s="2" t="s">
        <v>243</v>
      </c>
      <c r="B196" s="3" t="n">
        <v>46052</v>
      </c>
      <c r="C196" s="2" t="s">
        <v>13</v>
      </c>
      <c r="D196" s="2" t="s">
        <v>35</v>
      </c>
      <c r="E196" s="2" t="s">
        <v>52</v>
      </c>
      <c r="F196" s="2" t="s">
        <v>16</v>
      </c>
      <c r="G196" s="2" t="s">
        <v>17</v>
      </c>
      <c r="H196" s="2" t="s">
        <v>18</v>
      </c>
      <c r="I196" s="2" t="n">
        <v>2</v>
      </c>
      <c r="J196" s="4" t="n">
        <v>3034</v>
      </c>
      <c r="K196" s="4" t="n">
        <f aca="false">I196*J196</f>
        <v>6068</v>
      </c>
      <c r="L196" s="2" t="str">
        <f aca="false">TEXT(B196,"MMM-YYYY")</f>
        <v>Jan-2026</v>
      </c>
    </row>
    <row r="197" customFormat="false" ht="15" hidden="false" customHeight="false" outlineLevel="0" collapsed="false">
      <c r="A197" s="2" t="s">
        <v>244</v>
      </c>
      <c r="B197" s="3" t="n">
        <v>46053</v>
      </c>
      <c r="C197" s="2" t="s">
        <v>13</v>
      </c>
      <c r="D197" s="2" t="s">
        <v>35</v>
      </c>
      <c r="E197" s="2" t="s">
        <v>72</v>
      </c>
      <c r="F197" s="2" t="s">
        <v>57</v>
      </c>
      <c r="G197" s="2" t="s">
        <v>17</v>
      </c>
      <c r="H197" s="2" t="s">
        <v>33</v>
      </c>
      <c r="I197" s="2" t="n">
        <v>6</v>
      </c>
      <c r="J197" s="4" t="n">
        <v>3453</v>
      </c>
      <c r="K197" s="4" t="n">
        <f aca="false">I197*J197</f>
        <v>20718</v>
      </c>
      <c r="L197" s="2" t="str">
        <f aca="false">TEXT(B197,"MMM-YYYY")</f>
        <v>Jan-2026</v>
      </c>
    </row>
    <row r="198" customFormat="false" ht="15" hidden="false" customHeight="false" outlineLevel="0" collapsed="false">
      <c r="A198" s="2" t="s">
        <v>245</v>
      </c>
      <c r="B198" s="3" t="n">
        <v>46054</v>
      </c>
      <c r="C198" s="2" t="s">
        <v>25</v>
      </c>
      <c r="D198" s="2" t="s">
        <v>46</v>
      </c>
      <c r="E198" s="2" t="s">
        <v>47</v>
      </c>
      <c r="F198" s="2" t="s">
        <v>38</v>
      </c>
      <c r="G198" s="2" t="s">
        <v>41</v>
      </c>
      <c r="H198" s="2" t="s">
        <v>28</v>
      </c>
      <c r="I198" s="2" t="n">
        <v>1</v>
      </c>
      <c r="J198" s="4" t="n">
        <v>2129</v>
      </c>
      <c r="K198" s="4" t="n">
        <f aca="false">I198*J198</f>
        <v>2129</v>
      </c>
      <c r="L198" s="2" t="str">
        <f aca="false">TEXT(B198,"MMM-YYYY")</f>
        <v>Feb-2026</v>
      </c>
    </row>
    <row r="199" customFormat="false" ht="15" hidden="false" customHeight="false" outlineLevel="0" collapsed="false">
      <c r="A199" s="2" t="s">
        <v>246</v>
      </c>
      <c r="B199" s="3" t="n">
        <v>46056</v>
      </c>
      <c r="C199" s="2" t="s">
        <v>25</v>
      </c>
      <c r="D199" s="2" t="s">
        <v>35</v>
      </c>
      <c r="E199" s="2" t="s">
        <v>77</v>
      </c>
      <c r="F199" s="2" t="s">
        <v>57</v>
      </c>
      <c r="G199" s="2" t="s">
        <v>41</v>
      </c>
      <c r="H199" s="2" t="s">
        <v>33</v>
      </c>
      <c r="I199" s="2" t="n">
        <v>3</v>
      </c>
      <c r="J199" s="4" t="n">
        <v>2833</v>
      </c>
      <c r="K199" s="4" t="n">
        <f aca="false">I199*J199</f>
        <v>8499</v>
      </c>
      <c r="L199" s="2" t="str">
        <f aca="false">TEXT(B199,"MMM-YYYY")</f>
        <v>Feb-2026</v>
      </c>
    </row>
    <row r="200" customFormat="false" ht="15" hidden="false" customHeight="false" outlineLevel="0" collapsed="false">
      <c r="A200" s="2" t="s">
        <v>247</v>
      </c>
      <c r="B200" s="3" t="n">
        <v>46057</v>
      </c>
      <c r="C200" s="2" t="s">
        <v>30</v>
      </c>
      <c r="D200" s="2" t="s">
        <v>35</v>
      </c>
      <c r="E200" s="2" t="s">
        <v>36</v>
      </c>
      <c r="F200" s="2" t="s">
        <v>22</v>
      </c>
      <c r="G200" s="2" t="s">
        <v>32</v>
      </c>
      <c r="H200" s="2" t="s">
        <v>18</v>
      </c>
      <c r="I200" s="2" t="n">
        <v>12</v>
      </c>
      <c r="J200" s="4" t="n">
        <v>2679</v>
      </c>
      <c r="K200" s="4" t="n">
        <f aca="false">I200*J200</f>
        <v>32148</v>
      </c>
      <c r="L200" s="2" t="str">
        <f aca="false">TEXT(B200,"MMM-YYYY")</f>
        <v>Feb-2026</v>
      </c>
    </row>
    <row r="201" customFormat="false" ht="15" hidden="false" customHeight="false" outlineLevel="0" collapsed="false">
      <c r="A201" s="2" t="s">
        <v>248</v>
      </c>
      <c r="B201" s="3" t="n">
        <v>46057</v>
      </c>
      <c r="C201" s="2" t="s">
        <v>61</v>
      </c>
      <c r="D201" s="2" t="s">
        <v>14</v>
      </c>
      <c r="E201" s="2" t="s">
        <v>95</v>
      </c>
      <c r="F201" s="2" t="s">
        <v>22</v>
      </c>
      <c r="G201" s="2" t="s">
        <v>32</v>
      </c>
      <c r="H201" s="2" t="s">
        <v>28</v>
      </c>
      <c r="I201" s="2" t="n">
        <v>12</v>
      </c>
      <c r="J201" s="4" t="n">
        <v>875</v>
      </c>
      <c r="K201" s="4" t="n">
        <f aca="false">I201*J201</f>
        <v>10500</v>
      </c>
      <c r="L201" s="2" t="str">
        <f aca="false">TEXT(B201,"MMM-YYYY")</f>
        <v>Feb-2026</v>
      </c>
    </row>
    <row r="202" customFormat="false" ht="15" hidden="false" customHeight="false" outlineLevel="0" collapsed="false">
      <c r="A202" s="2" t="s">
        <v>249</v>
      </c>
      <c r="B202" s="3" t="n">
        <v>46059</v>
      </c>
      <c r="C202" s="2" t="s">
        <v>13</v>
      </c>
      <c r="D202" s="2" t="s">
        <v>35</v>
      </c>
      <c r="E202" s="2" t="s">
        <v>77</v>
      </c>
      <c r="F202" s="2" t="s">
        <v>57</v>
      </c>
      <c r="G202" s="2" t="s">
        <v>41</v>
      </c>
      <c r="H202" s="2" t="s">
        <v>23</v>
      </c>
      <c r="I202" s="2" t="n">
        <v>7</v>
      </c>
      <c r="J202" s="4" t="n">
        <v>2959</v>
      </c>
      <c r="K202" s="4" t="n">
        <f aca="false">I202*J202</f>
        <v>20713</v>
      </c>
      <c r="L202" s="2" t="str">
        <f aca="false">TEXT(B202,"MMM-YYYY")</f>
        <v>Feb-2026</v>
      </c>
    </row>
    <row r="203" customFormat="false" ht="15" hidden="false" customHeight="false" outlineLevel="0" collapsed="false">
      <c r="A203" s="2" t="s">
        <v>250</v>
      </c>
      <c r="B203" s="3" t="n">
        <v>46060</v>
      </c>
      <c r="C203" s="2" t="s">
        <v>25</v>
      </c>
      <c r="D203" s="2" t="s">
        <v>14</v>
      </c>
      <c r="E203" s="2" t="s">
        <v>95</v>
      </c>
      <c r="F203" s="2" t="s">
        <v>16</v>
      </c>
      <c r="G203" s="2" t="s">
        <v>32</v>
      </c>
      <c r="H203" s="2" t="s">
        <v>28</v>
      </c>
      <c r="I203" s="2" t="n">
        <v>5</v>
      </c>
      <c r="J203" s="4" t="n">
        <v>954</v>
      </c>
      <c r="K203" s="4" t="n">
        <f aca="false">I203*J203</f>
        <v>4770</v>
      </c>
      <c r="L203" s="2" t="str">
        <f aca="false">TEXT(B203,"MMM-YYYY")</f>
        <v>Feb-2026</v>
      </c>
    </row>
    <row r="204" customFormat="false" ht="15" hidden="false" customHeight="false" outlineLevel="0" collapsed="false">
      <c r="A204" s="2" t="s">
        <v>251</v>
      </c>
      <c r="B204" s="3" t="n">
        <v>46060</v>
      </c>
      <c r="C204" s="2" t="s">
        <v>61</v>
      </c>
      <c r="D204" s="2" t="s">
        <v>14</v>
      </c>
      <c r="E204" s="2" t="s">
        <v>26</v>
      </c>
      <c r="F204" s="2" t="s">
        <v>16</v>
      </c>
      <c r="G204" s="2" t="s">
        <v>17</v>
      </c>
      <c r="H204" s="2" t="s">
        <v>28</v>
      </c>
      <c r="I204" s="2" t="n">
        <v>7</v>
      </c>
      <c r="J204" s="4" t="n">
        <v>914</v>
      </c>
      <c r="K204" s="4" t="n">
        <f aca="false">I204*J204</f>
        <v>6398</v>
      </c>
      <c r="L204" s="2" t="str">
        <f aca="false">TEXT(B204,"MMM-YYYY")</f>
        <v>Feb-2026</v>
      </c>
    </row>
    <row r="205" customFormat="false" ht="15" hidden="false" customHeight="false" outlineLevel="0" collapsed="false">
      <c r="A205" s="2" t="s">
        <v>252</v>
      </c>
      <c r="B205" s="3" t="n">
        <v>46061</v>
      </c>
      <c r="C205" s="2" t="s">
        <v>25</v>
      </c>
      <c r="D205" s="2" t="s">
        <v>35</v>
      </c>
      <c r="E205" s="2" t="s">
        <v>36</v>
      </c>
      <c r="F205" s="2" t="s">
        <v>40</v>
      </c>
      <c r="G205" s="2" t="s">
        <v>17</v>
      </c>
      <c r="H205" s="2" t="s">
        <v>23</v>
      </c>
      <c r="I205" s="2" t="n">
        <v>12</v>
      </c>
      <c r="J205" s="4" t="n">
        <v>2353</v>
      </c>
      <c r="K205" s="4" t="n">
        <f aca="false">I205*J205</f>
        <v>28236</v>
      </c>
      <c r="L205" s="2" t="str">
        <f aca="false">TEXT(B205,"MMM-YYYY")</f>
        <v>Feb-2026</v>
      </c>
    </row>
    <row r="206" customFormat="false" ht="15" hidden="false" customHeight="false" outlineLevel="0" collapsed="false">
      <c r="A206" s="2" t="s">
        <v>253</v>
      </c>
      <c r="B206" s="3" t="n">
        <v>46061</v>
      </c>
      <c r="C206" s="2" t="s">
        <v>61</v>
      </c>
      <c r="D206" s="2" t="s">
        <v>46</v>
      </c>
      <c r="E206" s="2" t="s">
        <v>47</v>
      </c>
      <c r="F206" s="2" t="s">
        <v>22</v>
      </c>
      <c r="G206" s="2" t="s">
        <v>41</v>
      </c>
      <c r="H206" s="2" t="s">
        <v>33</v>
      </c>
      <c r="I206" s="2" t="n">
        <v>1</v>
      </c>
      <c r="J206" s="4" t="n">
        <v>2451</v>
      </c>
      <c r="K206" s="4" t="n">
        <f aca="false">I206*J206</f>
        <v>2451</v>
      </c>
      <c r="L206" s="2" t="str">
        <f aca="false">TEXT(B206,"MMM-YYYY")</f>
        <v>Feb-2026</v>
      </c>
    </row>
    <row r="207" customFormat="false" ht="15" hidden="false" customHeight="false" outlineLevel="0" collapsed="false">
      <c r="A207" s="2" t="s">
        <v>254</v>
      </c>
      <c r="B207" s="3" t="n">
        <v>46063</v>
      </c>
      <c r="C207" s="2" t="s">
        <v>61</v>
      </c>
      <c r="D207" s="2" t="s">
        <v>20</v>
      </c>
      <c r="E207" s="2" t="s">
        <v>70</v>
      </c>
      <c r="F207" s="2" t="s">
        <v>57</v>
      </c>
      <c r="G207" s="2" t="s">
        <v>17</v>
      </c>
      <c r="H207" s="2" t="s">
        <v>18</v>
      </c>
      <c r="I207" s="2" t="n">
        <v>5</v>
      </c>
      <c r="J207" s="4" t="n">
        <v>3530</v>
      </c>
      <c r="K207" s="4" t="n">
        <f aca="false">I207*J207</f>
        <v>17650</v>
      </c>
      <c r="L207" s="2" t="str">
        <f aca="false">TEXT(B207,"MMM-YYYY")</f>
        <v>Feb-2026</v>
      </c>
    </row>
    <row r="208" customFormat="false" ht="15" hidden="false" customHeight="false" outlineLevel="0" collapsed="false">
      <c r="A208" s="2" t="s">
        <v>255</v>
      </c>
      <c r="B208" s="3" t="n">
        <v>46063</v>
      </c>
      <c r="C208" s="2" t="s">
        <v>30</v>
      </c>
      <c r="D208" s="2" t="s">
        <v>46</v>
      </c>
      <c r="E208" s="2" t="s">
        <v>64</v>
      </c>
      <c r="F208" s="2" t="s">
        <v>40</v>
      </c>
      <c r="G208" s="2" t="s">
        <v>17</v>
      </c>
      <c r="H208" s="2" t="s">
        <v>18</v>
      </c>
      <c r="I208" s="2" t="n">
        <v>10</v>
      </c>
      <c r="J208" s="4" t="n">
        <v>2464</v>
      </c>
      <c r="K208" s="4" t="n">
        <f aca="false">I208*J208</f>
        <v>24640</v>
      </c>
      <c r="L208" s="2" t="str">
        <f aca="false">TEXT(B208,"MMM-YYYY")</f>
        <v>Feb-2026</v>
      </c>
    </row>
    <row r="209" customFormat="false" ht="15" hidden="false" customHeight="false" outlineLevel="0" collapsed="false">
      <c r="A209" s="2" t="s">
        <v>256</v>
      </c>
      <c r="B209" s="3" t="n">
        <v>46065</v>
      </c>
      <c r="C209" s="2" t="s">
        <v>25</v>
      </c>
      <c r="D209" s="2" t="s">
        <v>20</v>
      </c>
      <c r="E209" s="2" t="s">
        <v>75</v>
      </c>
      <c r="F209" s="2" t="s">
        <v>22</v>
      </c>
      <c r="G209" s="2" t="s">
        <v>41</v>
      </c>
      <c r="H209" s="2" t="s">
        <v>33</v>
      </c>
      <c r="I209" s="2" t="n">
        <v>8</v>
      </c>
      <c r="J209" s="4" t="n">
        <v>4438</v>
      </c>
      <c r="K209" s="4" t="n">
        <f aca="false">I209*J209</f>
        <v>35504</v>
      </c>
      <c r="L209" s="2" t="str">
        <f aca="false">TEXT(B209,"MMM-YYYY")</f>
        <v>Feb-2026</v>
      </c>
    </row>
    <row r="210" customFormat="false" ht="15" hidden="false" customHeight="false" outlineLevel="0" collapsed="false">
      <c r="A210" s="2" t="s">
        <v>257</v>
      </c>
      <c r="B210" s="3" t="n">
        <v>46066</v>
      </c>
      <c r="C210" s="2" t="s">
        <v>61</v>
      </c>
      <c r="D210" s="2" t="s">
        <v>35</v>
      </c>
      <c r="E210" s="2" t="s">
        <v>52</v>
      </c>
      <c r="F210" s="2" t="s">
        <v>57</v>
      </c>
      <c r="G210" s="2" t="s">
        <v>41</v>
      </c>
      <c r="H210" s="2" t="s">
        <v>23</v>
      </c>
      <c r="I210" s="2" t="n">
        <v>6</v>
      </c>
      <c r="J210" s="4" t="n">
        <v>3019</v>
      </c>
      <c r="K210" s="4" t="n">
        <f aca="false">I210*J210</f>
        <v>18114</v>
      </c>
      <c r="L210" s="2" t="str">
        <f aca="false">TEXT(B210,"MMM-YYYY")</f>
        <v>Feb-2026</v>
      </c>
    </row>
    <row r="211" customFormat="false" ht="15" hidden="false" customHeight="false" outlineLevel="0" collapsed="false">
      <c r="A211" s="2" t="s">
        <v>258</v>
      </c>
      <c r="B211" s="3" t="n">
        <v>46068</v>
      </c>
      <c r="C211" s="2" t="s">
        <v>25</v>
      </c>
      <c r="D211" s="2" t="s">
        <v>46</v>
      </c>
      <c r="E211" s="2" t="s">
        <v>56</v>
      </c>
      <c r="F211" s="2" t="s">
        <v>22</v>
      </c>
      <c r="G211" s="2" t="s">
        <v>32</v>
      </c>
      <c r="H211" s="2" t="s">
        <v>18</v>
      </c>
      <c r="I211" s="2" t="n">
        <v>2</v>
      </c>
      <c r="J211" s="4" t="n">
        <v>2307</v>
      </c>
      <c r="K211" s="4" t="n">
        <f aca="false">I211*J211</f>
        <v>4614</v>
      </c>
      <c r="L211" s="2" t="str">
        <f aca="false">TEXT(B211,"MMM-YYYY")</f>
        <v>Feb-2026</v>
      </c>
    </row>
    <row r="212" customFormat="false" ht="15" hidden="false" customHeight="false" outlineLevel="0" collapsed="false">
      <c r="A212" s="2" t="s">
        <v>259</v>
      </c>
      <c r="B212" s="3" t="n">
        <v>46070</v>
      </c>
      <c r="C212" s="2" t="s">
        <v>13</v>
      </c>
      <c r="D212" s="2" t="s">
        <v>20</v>
      </c>
      <c r="E212" s="2" t="s">
        <v>43</v>
      </c>
      <c r="F212" s="2" t="s">
        <v>27</v>
      </c>
      <c r="G212" s="2" t="s">
        <v>17</v>
      </c>
      <c r="H212" s="2" t="s">
        <v>18</v>
      </c>
      <c r="I212" s="2" t="n">
        <v>3</v>
      </c>
      <c r="J212" s="4" t="n">
        <v>4144</v>
      </c>
      <c r="K212" s="4" t="n">
        <f aca="false">I212*J212</f>
        <v>12432</v>
      </c>
      <c r="L212" s="2" t="str">
        <f aca="false">TEXT(B212,"MMM-YYYY")</f>
        <v>Feb-2026</v>
      </c>
    </row>
    <row r="213" customFormat="false" ht="15" hidden="false" customHeight="false" outlineLevel="0" collapsed="false">
      <c r="A213" s="2" t="s">
        <v>260</v>
      </c>
      <c r="B213" s="3" t="n">
        <v>46071</v>
      </c>
      <c r="C213" s="2" t="s">
        <v>13</v>
      </c>
      <c r="D213" s="2" t="s">
        <v>20</v>
      </c>
      <c r="E213" s="2" t="s">
        <v>21</v>
      </c>
      <c r="F213" s="2" t="s">
        <v>16</v>
      </c>
      <c r="G213" s="2" t="s">
        <v>41</v>
      </c>
      <c r="H213" s="2" t="s">
        <v>28</v>
      </c>
      <c r="I213" s="2" t="n">
        <v>1</v>
      </c>
      <c r="J213" s="4" t="n">
        <v>3949</v>
      </c>
      <c r="K213" s="4" t="n">
        <f aca="false">I213*J213</f>
        <v>3949</v>
      </c>
      <c r="L213" s="2" t="str">
        <f aca="false">TEXT(B213,"MMM-YYYY")</f>
        <v>Feb-2026</v>
      </c>
    </row>
    <row r="214" customFormat="false" ht="15" hidden="false" customHeight="false" outlineLevel="0" collapsed="false">
      <c r="A214" s="2" t="s">
        <v>261</v>
      </c>
      <c r="B214" s="3" t="n">
        <v>46071</v>
      </c>
      <c r="C214" s="2" t="s">
        <v>30</v>
      </c>
      <c r="D214" s="2" t="s">
        <v>14</v>
      </c>
      <c r="E214" s="2" t="s">
        <v>15</v>
      </c>
      <c r="F214" s="2" t="s">
        <v>57</v>
      </c>
      <c r="G214" s="2" t="s">
        <v>32</v>
      </c>
      <c r="H214" s="2" t="s">
        <v>33</v>
      </c>
      <c r="I214" s="2" t="n">
        <v>9</v>
      </c>
      <c r="J214" s="4" t="n">
        <v>819</v>
      </c>
      <c r="K214" s="4" t="n">
        <f aca="false">I214*J214</f>
        <v>7371</v>
      </c>
      <c r="L214" s="2" t="str">
        <f aca="false">TEXT(B214,"MMM-YYYY")</f>
        <v>Feb-2026</v>
      </c>
    </row>
    <row r="215" customFormat="false" ht="15" hidden="false" customHeight="false" outlineLevel="0" collapsed="false">
      <c r="A215" s="2" t="s">
        <v>262</v>
      </c>
      <c r="B215" s="3" t="n">
        <v>46072</v>
      </c>
      <c r="C215" s="2" t="s">
        <v>13</v>
      </c>
      <c r="D215" s="2" t="s">
        <v>14</v>
      </c>
      <c r="E215" s="2" t="s">
        <v>15</v>
      </c>
      <c r="F215" s="2" t="s">
        <v>40</v>
      </c>
      <c r="G215" s="2" t="s">
        <v>17</v>
      </c>
      <c r="H215" s="2" t="s">
        <v>23</v>
      </c>
      <c r="I215" s="2" t="n">
        <v>1</v>
      </c>
      <c r="J215" s="4" t="n">
        <v>788</v>
      </c>
      <c r="K215" s="4" t="n">
        <f aca="false">I215*J215</f>
        <v>788</v>
      </c>
      <c r="L215" s="2" t="str">
        <f aca="false">TEXT(B215,"MMM-YYYY")</f>
        <v>Feb-2026</v>
      </c>
    </row>
    <row r="216" customFormat="false" ht="15" hidden="false" customHeight="false" outlineLevel="0" collapsed="false">
      <c r="A216" s="2" t="s">
        <v>263</v>
      </c>
      <c r="B216" s="3" t="n">
        <v>46073</v>
      </c>
      <c r="C216" s="2" t="s">
        <v>30</v>
      </c>
      <c r="D216" s="2" t="s">
        <v>14</v>
      </c>
      <c r="E216" s="2" t="s">
        <v>31</v>
      </c>
      <c r="F216" s="2" t="s">
        <v>40</v>
      </c>
      <c r="G216" s="2" t="s">
        <v>32</v>
      </c>
      <c r="H216" s="2" t="s">
        <v>23</v>
      </c>
      <c r="I216" s="2" t="n">
        <v>6</v>
      </c>
      <c r="J216" s="4" t="n">
        <v>847</v>
      </c>
      <c r="K216" s="4" t="n">
        <f aca="false">I216*J216</f>
        <v>5082</v>
      </c>
      <c r="L216" s="2" t="str">
        <f aca="false">TEXT(B216,"MMM-YYYY")</f>
        <v>Feb-2026</v>
      </c>
    </row>
    <row r="217" customFormat="false" ht="15" hidden="false" customHeight="false" outlineLevel="0" collapsed="false">
      <c r="A217" s="2" t="s">
        <v>264</v>
      </c>
      <c r="B217" s="3" t="n">
        <v>46074</v>
      </c>
      <c r="C217" s="2" t="s">
        <v>61</v>
      </c>
      <c r="D217" s="2" t="s">
        <v>35</v>
      </c>
      <c r="E217" s="2" t="s">
        <v>72</v>
      </c>
      <c r="F217" s="2" t="s">
        <v>27</v>
      </c>
      <c r="G217" s="2" t="s">
        <v>41</v>
      </c>
      <c r="H217" s="2" t="s">
        <v>28</v>
      </c>
      <c r="I217" s="2" t="n">
        <v>8</v>
      </c>
      <c r="J217" s="4" t="n">
        <v>2271</v>
      </c>
      <c r="K217" s="4" t="n">
        <f aca="false">I217*J217</f>
        <v>18168</v>
      </c>
      <c r="L217" s="2" t="str">
        <f aca="false">TEXT(B217,"MMM-YYYY")</f>
        <v>Feb-2026</v>
      </c>
    </row>
    <row r="218" customFormat="false" ht="15" hidden="false" customHeight="false" outlineLevel="0" collapsed="false">
      <c r="A218" s="2" t="s">
        <v>265</v>
      </c>
      <c r="B218" s="3" t="n">
        <v>46074</v>
      </c>
      <c r="C218" s="2" t="s">
        <v>13</v>
      </c>
      <c r="D218" s="2" t="s">
        <v>46</v>
      </c>
      <c r="E218" s="2" t="s">
        <v>56</v>
      </c>
      <c r="F218" s="2" t="s">
        <v>38</v>
      </c>
      <c r="G218" s="2" t="s">
        <v>32</v>
      </c>
      <c r="H218" s="2" t="s">
        <v>18</v>
      </c>
      <c r="I218" s="2" t="n">
        <v>9</v>
      </c>
      <c r="J218" s="4" t="n">
        <v>2761</v>
      </c>
      <c r="K218" s="4" t="n">
        <f aca="false">I218*J218</f>
        <v>24849</v>
      </c>
      <c r="L218" s="2" t="str">
        <f aca="false">TEXT(B218,"MMM-YYYY")</f>
        <v>Feb-2026</v>
      </c>
    </row>
    <row r="219" customFormat="false" ht="15" hidden="false" customHeight="false" outlineLevel="0" collapsed="false">
      <c r="A219" s="2" t="s">
        <v>266</v>
      </c>
      <c r="B219" s="3" t="n">
        <v>46074</v>
      </c>
      <c r="C219" s="2" t="s">
        <v>13</v>
      </c>
      <c r="D219" s="2" t="s">
        <v>35</v>
      </c>
      <c r="E219" s="2" t="s">
        <v>77</v>
      </c>
      <c r="F219" s="2" t="s">
        <v>57</v>
      </c>
      <c r="G219" s="2" t="s">
        <v>17</v>
      </c>
      <c r="H219" s="2" t="s">
        <v>33</v>
      </c>
      <c r="I219" s="2" t="n">
        <v>7</v>
      </c>
      <c r="J219" s="4" t="n">
        <v>3365</v>
      </c>
      <c r="K219" s="4" t="n">
        <f aca="false">I219*J219</f>
        <v>23555</v>
      </c>
      <c r="L219" s="2" t="str">
        <f aca="false">TEXT(B219,"MMM-YYYY")</f>
        <v>Feb-2026</v>
      </c>
    </row>
    <row r="220" customFormat="false" ht="15" hidden="false" customHeight="false" outlineLevel="0" collapsed="false">
      <c r="A220" s="2" t="s">
        <v>267</v>
      </c>
      <c r="B220" s="3" t="n">
        <v>46075</v>
      </c>
      <c r="C220" s="2" t="s">
        <v>30</v>
      </c>
      <c r="D220" s="2" t="s">
        <v>46</v>
      </c>
      <c r="E220" s="2" t="s">
        <v>47</v>
      </c>
      <c r="F220" s="2" t="s">
        <v>38</v>
      </c>
      <c r="G220" s="2" t="s">
        <v>17</v>
      </c>
      <c r="H220" s="2" t="s">
        <v>28</v>
      </c>
      <c r="I220" s="2" t="n">
        <v>1</v>
      </c>
      <c r="J220" s="4" t="n">
        <v>1795</v>
      </c>
      <c r="K220" s="4" t="n">
        <f aca="false">I220*J220</f>
        <v>1795</v>
      </c>
      <c r="L220" s="2" t="str">
        <f aca="false">TEXT(B220,"MMM-YYYY")</f>
        <v>Feb-2026</v>
      </c>
    </row>
    <row r="221" customFormat="false" ht="15" hidden="false" customHeight="false" outlineLevel="0" collapsed="false">
      <c r="A221" s="2" t="s">
        <v>268</v>
      </c>
      <c r="B221" s="3" t="n">
        <v>46080</v>
      </c>
      <c r="C221" s="2" t="s">
        <v>13</v>
      </c>
      <c r="D221" s="2" t="s">
        <v>14</v>
      </c>
      <c r="E221" s="2" t="s">
        <v>31</v>
      </c>
      <c r="F221" s="2" t="s">
        <v>38</v>
      </c>
      <c r="G221" s="2" t="s">
        <v>17</v>
      </c>
      <c r="H221" s="2" t="s">
        <v>23</v>
      </c>
      <c r="I221" s="2" t="n">
        <v>3</v>
      </c>
      <c r="J221" s="4" t="n">
        <v>932</v>
      </c>
      <c r="K221" s="4" t="n">
        <f aca="false">I221*J221</f>
        <v>2796</v>
      </c>
      <c r="L221" s="2" t="str">
        <f aca="false">TEXT(B221,"MMM-YYYY")</f>
        <v>Feb-2026</v>
      </c>
    </row>
    <row r="222" customFormat="false" ht="15" hidden="false" customHeight="false" outlineLevel="0" collapsed="false">
      <c r="A222" s="2" t="s">
        <v>269</v>
      </c>
      <c r="B222" s="3" t="n">
        <v>46080</v>
      </c>
      <c r="C222" s="2" t="s">
        <v>30</v>
      </c>
      <c r="D222" s="2" t="s">
        <v>14</v>
      </c>
      <c r="E222" s="2" t="s">
        <v>95</v>
      </c>
      <c r="F222" s="2" t="s">
        <v>57</v>
      </c>
      <c r="G222" s="2" t="s">
        <v>32</v>
      </c>
      <c r="H222" s="2" t="s">
        <v>33</v>
      </c>
      <c r="I222" s="2" t="n">
        <v>11</v>
      </c>
      <c r="J222" s="4" t="n">
        <v>937</v>
      </c>
      <c r="K222" s="4" t="n">
        <f aca="false">I222*J222</f>
        <v>10307</v>
      </c>
      <c r="L222" s="2" t="str">
        <f aca="false">TEXT(B222,"MMM-YYYY")</f>
        <v>Feb-2026</v>
      </c>
    </row>
    <row r="223" customFormat="false" ht="15" hidden="false" customHeight="false" outlineLevel="0" collapsed="false">
      <c r="A223" s="2" t="s">
        <v>270</v>
      </c>
      <c r="B223" s="3" t="n">
        <v>46081</v>
      </c>
      <c r="C223" s="2" t="s">
        <v>30</v>
      </c>
      <c r="D223" s="2" t="s">
        <v>14</v>
      </c>
      <c r="E223" s="2" t="s">
        <v>15</v>
      </c>
      <c r="F223" s="2" t="s">
        <v>16</v>
      </c>
      <c r="G223" s="2" t="s">
        <v>32</v>
      </c>
      <c r="H223" s="2" t="s">
        <v>18</v>
      </c>
      <c r="I223" s="2" t="n">
        <v>12</v>
      </c>
      <c r="J223" s="4" t="n">
        <v>905</v>
      </c>
      <c r="K223" s="4" t="n">
        <f aca="false">I223*J223</f>
        <v>10860</v>
      </c>
      <c r="L223" s="2" t="str">
        <f aca="false">TEXT(B223,"MMM-YYYY")</f>
        <v>Feb-2026</v>
      </c>
    </row>
    <row r="224" customFormat="false" ht="15" hidden="false" customHeight="false" outlineLevel="0" collapsed="false">
      <c r="A224" s="2" t="s">
        <v>271</v>
      </c>
      <c r="B224" s="3" t="n">
        <v>46083</v>
      </c>
      <c r="C224" s="2" t="s">
        <v>13</v>
      </c>
      <c r="D224" s="2" t="s">
        <v>46</v>
      </c>
      <c r="E224" s="2" t="s">
        <v>47</v>
      </c>
      <c r="F224" s="2" t="s">
        <v>38</v>
      </c>
      <c r="G224" s="2" t="s">
        <v>17</v>
      </c>
      <c r="H224" s="2" t="s">
        <v>23</v>
      </c>
      <c r="I224" s="2" t="n">
        <v>3</v>
      </c>
      <c r="J224" s="4" t="n">
        <v>2825</v>
      </c>
      <c r="K224" s="4" t="n">
        <f aca="false">I224*J224</f>
        <v>8475</v>
      </c>
      <c r="L224" s="2" t="str">
        <f aca="false">TEXT(B224,"MMM-YYYY")</f>
        <v>Mar-2026</v>
      </c>
    </row>
    <row r="225" customFormat="false" ht="15" hidden="false" customHeight="false" outlineLevel="0" collapsed="false">
      <c r="A225" s="2" t="s">
        <v>272</v>
      </c>
      <c r="B225" s="3" t="n">
        <v>46083</v>
      </c>
      <c r="C225" s="2" t="s">
        <v>61</v>
      </c>
      <c r="D225" s="2" t="s">
        <v>46</v>
      </c>
      <c r="E225" s="2" t="s">
        <v>47</v>
      </c>
      <c r="F225" s="2" t="s">
        <v>22</v>
      </c>
      <c r="G225" s="2" t="s">
        <v>41</v>
      </c>
      <c r="H225" s="2" t="s">
        <v>23</v>
      </c>
      <c r="I225" s="2" t="n">
        <v>6</v>
      </c>
      <c r="J225" s="4" t="n">
        <v>2128</v>
      </c>
      <c r="K225" s="4" t="n">
        <f aca="false">I225*J225</f>
        <v>12768</v>
      </c>
      <c r="L225" s="2" t="str">
        <f aca="false">TEXT(B225,"MMM-YYYY")</f>
        <v>Mar-2026</v>
      </c>
    </row>
    <row r="226" customFormat="false" ht="15" hidden="false" customHeight="false" outlineLevel="0" collapsed="false">
      <c r="A226" s="2" t="s">
        <v>273</v>
      </c>
      <c r="B226" s="3" t="n">
        <v>46084</v>
      </c>
      <c r="C226" s="2" t="s">
        <v>61</v>
      </c>
      <c r="D226" s="2" t="s">
        <v>14</v>
      </c>
      <c r="E226" s="2" t="s">
        <v>31</v>
      </c>
      <c r="F226" s="2" t="s">
        <v>27</v>
      </c>
      <c r="G226" s="2" t="s">
        <v>17</v>
      </c>
      <c r="H226" s="2" t="s">
        <v>23</v>
      </c>
      <c r="I226" s="2" t="n">
        <v>5</v>
      </c>
      <c r="J226" s="4" t="n">
        <v>1054</v>
      </c>
      <c r="K226" s="4" t="n">
        <f aca="false">I226*J226</f>
        <v>5270</v>
      </c>
      <c r="L226" s="2" t="str">
        <f aca="false">TEXT(B226,"MMM-YYYY")</f>
        <v>Mar-2026</v>
      </c>
    </row>
    <row r="227" customFormat="false" ht="15" hidden="false" customHeight="false" outlineLevel="0" collapsed="false">
      <c r="A227" s="2" t="s">
        <v>274</v>
      </c>
      <c r="B227" s="3" t="n">
        <v>46085</v>
      </c>
      <c r="C227" s="2" t="s">
        <v>61</v>
      </c>
      <c r="D227" s="2" t="s">
        <v>46</v>
      </c>
      <c r="E227" s="2" t="s">
        <v>56</v>
      </c>
      <c r="F227" s="2" t="s">
        <v>38</v>
      </c>
      <c r="G227" s="2" t="s">
        <v>17</v>
      </c>
      <c r="H227" s="2" t="s">
        <v>28</v>
      </c>
      <c r="I227" s="2" t="n">
        <v>7</v>
      </c>
      <c r="J227" s="4" t="n">
        <v>1857</v>
      </c>
      <c r="K227" s="4" t="n">
        <f aca="false">I227*J227</f>
        <v>12999</v>
      </c>
      <c r="L227" s="2" t="str">
        <f aca="false">TEXT(B227,"MMM-YYYY")</f>
        <v>Mar-2026</v>
      </c>
    </row>
    <row r="228" customFormat="false" ht="15" hidden="false" customHeight="false" outlineLevel="0" collapsed="false">
      <c r="A228" s="2" t="s">
        <v>275</v>
      </c>
      <c r="B228" s="3" t="n">
        <v>46085</v>
      </c>
      <c r="C228" s="2" t="s">
        <v>25</v>
      </c>
      <c r="D228" s="2" t="s">
        <v>20</v>
      </c>
      <c r="E228" s="2" t="s">
        <v>70</v>
      </c>
      <c r="F228" s="2" t="s">
        <v>22</v>
      </c>
      <c r="G228" s="2" t="s">
        <v>17</v>
      </c>
      <c r="H228" s="2" t="s">
        <v>33</v>
      </c>
      <c r="I228" s="2" t="n">
        <v>10</v>
      </c>
      <c r="J228" s="4" t="n">
        <v>4603</v>
      </c>
      <c r="K228" s="4" t="n">
        <f aca="false">I228*J228</f>
        <v>46030</v>
      </c>
      <c r="L228" s="2" t="str">
        <f aca="false">TEXT(B228,"MMM-YYYY")</f>
        <v>Mar-2026</v>
      </c>
    </row>
    <row r="229" customFormat="false" ht="15" hidden="false" customHeight="false" outlineLevel="0" collapsed="false">
      <c r="A229" s="2" t="s">
        <v>276</v>
      </c>
      <c r="B229" s="3" t="n">
        <v>46085</v>
      </c>
      <c r="C229" s="2" t="s">
        <v>25</v>
      </c>
      <c r="D229" s="2" t="s">
        <v>14</v>
      </c>
      <c r="E229" s="2" t="s">
        <v>15</v>
      </c>
      <c r="F229" s="2" t="s">
        <v>38</v>
      </c>
      <c r="G229" s="2" t="s">
        <v>41</v>
      </c>
      <c r="H229" s="2" t="s">
        <v>18</v>
      </c>
      <c r="I229" s="2" t="n">
        <v>6</v>
      </c>
      <c r="J229" s="4" t="n">
        <v>872</v>
      </c>
      <c r="K229" s="4" t="n">
        <f aca="false">I229*J229</f>
        <v>5232</v>
      </c>
      <c r="L229" s="2" t="str">
        <f aca="false">TEXT(B229,"MMM-YYYY")</f>
        <v>Mar-2026</v>
      </c>
    </row>
    <row r="230" customFormat="false" ht="15" hidden="false" customHeight="false" outlineLevel="0" collapsed="false">
      <c r="A230" s="2" t="s">
        <v>277</v>
      </c>
      <c r="B230" s="3" t="n">
        <v>46088</v>
      </c>
      <c r="C230" s="2" t="s">
        <v>25</v>
      </c>
      <c r="D230" s="2" t="s">
        <v>35</v>
      </c>
      <c r="E230" s="2" t="s">
        <v>77</v>
      </c>
      <c r="F230" s="2" t="s">
        <v>16</v>
      </c>
      <c r="G230" s="2" t="s">
        <v>17</v>
      </c>
      <c r="H230" s="2" t="s">
        <v>23</v>
      </c>
      <c r="I230" s="2" t="n">
        <v>12</v>
      </c>
      <c r="J230" s="4" t="n">
        <v>3332</v>
      </c>
      <c r="K230" s="4" t="n">
        <f aca="false">I230*J230</f>
        <v>39984</v>
      </c>
      <c r="L230" s="2" t="str">
        <f aca="false">TEXT(B230,"MMM-YYYY")</f>
        <v>Mar-2026</v>
      </c>
    </row>
    <row r="231" customFormat="false" ht="15" hidden="false" customHeight="false" outlineLevel="0" collapsed="false">
      <c r="A231" s="2" t="s">
        <v>278</v>
      </c>
      <c r="B231" s="3" t="n">
        <v>46091</v>
      </c>
      <c r="C231" s="2" t="s">
        <v>25</v>
      </c>
      <c r="D231" s="2" t="s">
        <v>35</v>
      </c>
      <c r="E231" s="2" t="s">
        <v>77</v>
      </c>
      <c r="F231" s="2" t="s">
        <v>27</v>
      </c>
      <c r="G231" s="2" t="s">
        <v>17</v>
      </c>
      <c r="H231" s="2" t="s">
        <v>23</v>
      </c>
      <c r="I231" s="2" t="n">
        <v>4</v>
      </c>
      <c r="J231" s="4" t="n">
        <v>2720</v>
      </c>
      <c r="K231" s="4" t="n">
        <f aca="false">I231*J231</f>
        <v>10880</v>
      </c>
      <c r="L231" s="2" t="str">
        <f aca="false">TEXT(B231,"MMM-YYYY")</f>
        <v>Mar-2026</v>
      </c>
    </row>
    <row r="232" customFormat="false" ht="15" hidden="false" customHeight="false" outlineLevel="0" collapsed="false">
      <c r="A232" s="2" t="s">
        <v>279</v>
      </c>
      <c r="B232" s="3" t="n">
        <v>46092</v>
      </c>
      <c r="C232" s="2" t="s">
        <v>30</v>
      </c>
      <c r="D232" s="2" t="s">
        <v>46</v>
      </c>
      <c r="E232" s="2" t="s">
        <v>50</v>
      </c>
      <c r="F232" s="2" t="s">
        <v>16</v>
      </c>
      <c r="G232" s="2" t="s">
        <v>17</v>
      </c>
      <c r="H232" s="2" t="s">
        <v>33</v>
      </c>
      <c r="I232" s="2" t="n">
        <v>8</v>
      </c>
      <c r="J232" s="4" t="n">
        <v>1797</v>
      </c>
      <c r="K232" s="4" t="n">
        <f aca="false">I232*J232</f>
        <v>14376</v>
      </c>
      <c r="L232" s="2" t="str">
        <f aca="false">TEXT(B232,"MMM-YYYY")</f>
        <v>Mar-2026</v>
      </c>
    </row>
    <row r="233" customFormat="false" ht="15" hidden="false" customHeight="false" outlineLevel="0" collapsed="false">
      <c r="A233" s="2" t="s">
        <v>280</v>
      </c>
      <c r="B233" s="3" t="n">
        <v>46093</v>
      </c>
      <c r="C233" s="2" t="s">
        <v>13</v>
      </c>
      <c r="D233" s="2" t="s">
        <v>35</v>
      </c>
      <c r="E233" s="2" t="s">
        <v>36</v>
      </c>
      <c r="F233" s="2" t="s">
        <v>38</v>
      </c>
      <c r="G233" s="2" t="s">
        <v>17</v>
      </c>
      <c r="H233" s="2" t="s">
        <v>23</v>
      </c>
      <c r="I233" s="2" t="n">
        <v>9</v>
      </c>
      <c r="J233" s="4" t="n">
        <v>3294</v>
      </c>
      <c r="K233" s="4" t="n">
        <f aca="false">I233*J233</f>
        <v>29646</v>
      </c>
      <c r="L233" s="2" t="str">
        <f aca="false">TEXT(B233,"MMM-YYYY")</f>
        <v>Mar-2026</v>
      </c>
    </row>
    <row r="234" customFormat="false" ht="15" hidden="false" customHeight="false" outlineLevel="0" collapsed="false">
      <c r="A234" s="2" t="s">
        <v>281</v>
      </c>
      <c r="B234" s="3" t="n">
        <v>46095</v>
      </c>
      <c r="C234" s="2" t="s">
        <v>30</v>
      </c>
      <c r="D234" s="2" t="s">
        <v>35</v>
      </c>
      <c r="E234" s="2" t="s">
        <v>36</v>
      </c>
      <c r="F234" s="2" t="s">
        <v>40</v>
      </c>
      <c r="G234" s="2" t="s">
        <v>41</v>
      </c>
      <c r="H234" s="2" t="s">
        <v>18</v>
      </c>
      <c r="I234" s="2" t="n">
        <v>8</v>
      </c>
      <c r="J234" s="4" t="n">
        <v>3402</v>
      </c>
      <c r="K234" s="4" t="n">
        <f aca="false">I234*J234</f>
        <v>27216</v>
      </c>
      <c r="L234" s="2" t="str">
        <f aca="false">TEXT(B234,"MMM-YYYY")</f>
        <v>Mar-2026</v>
      </c>
    </row>
    <row r="235" customFormat="false" ht="15" hidden="false" customHeight="false" outlineLevel="0" collapsed="false">
      <c r="A235" s="2" t="s">
        <v>282</v>
      </c>
      <c r="B235" s="3" t="n">
        <v>46098</v>
      </c>
      <c r="C235" s="2" t="s">
        <v>13</v>
      </c>
      <c r="D235" s="2" t="s">
        <v>46</v>
      </c>
      <c r="E235" s="2" t="s">
        <v>50</v>
      </c>
      <c r="F235" s="2" t="s">
        <v>57</v>
      </c>
      <c r="G235" s="2" t="s">
        <v>17</v>
      </c>
      <c r="H235" s="2" t="s">
        <v>33</v>
      </c>
      <c r="I235" s="2" t="n">
        <v>10</v>
      </c>
      <c r="J235" s="4" t="n">
        <v>2299</v>
      </c>
      <c r="K235" s="4" t="n">
        <f aca="false">I235*J235</f>
        <v>22990</v>
      </c>
      <c r="L235" s="2" t="str">
        <f aca="false">TEXT(B235,"MMM-YYYY")</f>
        <v>Mar-2026</v>
      </c>
    </row>
    <row r="236" customFormat="false" ht="15" hidden="false" customHeight="false" outlineLevel="0" collapsed="false">
      <c r="A236" s="2" t="s">
        <v>283</v>
      </c>
      <c r="B236" s="3" t="n">
        <v>46098</v>
      </c>
      <c r="C236" s="2" t="s">
        <v>13</v>
      </c>
      <c r="D236" s="2" t="s">
        <v>46</v>
      </c>
      <c r="E236" s="2" t="s">
        <v>50</v>
      </c>
      <c r="F236" s="2" t="s">
        <v>27</v>
      </c>
      <c r="G236" s="2" t="s">
        <v>41</v>
      </c>
      <c r="H236" s="2" t="s">
        <v>33</v>
      </c>
      <c r="I236" s="2" t="n">
        <v>4</v>
      </c>
      <c r="J236" s="4" t="n">
        <v>2252</v>
      </c>
      <c r="K236" s="4" t="n">
        <f aca="false">I236*J236</f>
        <v>9008</v>
      </c>
      <c r="L236" s="2" t="str">
        <f aca="false">TEXT(B236,"MMM-YYYY")</f>
        <v>Mar-2026</v>
      </c>
    </row>
    <row r="237" customFormat="false" ht="15" hidden="false" customHeight="false" outlineLevel="0" collapsed="false">
      <c r="A237" s="2" t="s">
        <v>284</v>
      </c>
      <c r="B237" s="3" t="n">
        <v>46098</v>
      </c>
      <c r="C237" s="2" t="s">
        <v>25</v>
      </c>
      <c r="D237" s="2" t="s">
        <v>14</v>
      </c>
      <c r="E237" s="2" t="s">
        <v>95</v>
      </c>
      <c r="F237" s="2" t="s">
        <v>16</v>
      </c>
      <c r="G237" s="2" t="s">
        <v>41</v>
      </c>
      <c r="H237" s="2" t="s">
        <v>28</v>
      </c>
      <c r="I237" s="2" t="n">
        <v>4</v>
      </c>
      <c r="J237" s="4" t="n">
        <v>1168</v>
      </c>
      <c r="K237" s="4" t="n">
        <f aca="false">I237*J237</f>
        <v>4672</v>
      </c>
      <c r="L237" s="2" t="str">
        <f aca="false">TEXT(B237,"MMM-YYYY")</f>
        <v>Mar-2026</v>
      </c>
    </row>
    <row r="238" customFormat="false" ht="15" hidden="false" customHeight="false" outlineLevel="0" collapsed="false">
      <c r="A238" s="2" t="s">
        <v>285</v>
      </c>
      <c r="B238" s="3" t="n">
        <v>46101</v>
      </c>
      <c r="C238" s="2" t="s">
        <v>25</v>
      </c>
      <c r="D238" s="2" t="s">
        <v>35</v>
      </c>
      <c r="E238" s="2" t="s">
        <v>36</v>
      </c>
      <c r="F238" s="2" t="s">
        <v>16</v>
      </c>
      <c r="G238" s="2" t="s">
        <v>41</v>
      </c>
      <c r="H238" s="2" t="s">
        <v>33</v>
      </c>
      <c r="I238" s="2" t="n">
        <v>12</v>
      </c>
      <c r="J238" s="4" t="n">
        <v>3357</v>
      </c>
      <c r="K238" s="4" t="n">
        <f aca="false">I238*J238</f>
        <v>40284</v>
      </c>
      <c r="L238" s="2" t="str">
        <f aca="false">TEXT(B238,"MMM-YYYY")</f>
        <v>Mar-2026</v>
      </c>
    </row>
    <row r="239" customFormat="false" ht="15" hidden="false" customHeight="false" outlineLevel="0" collapsed="false">
      <c r="A239" s="2" t="s">
        <v>286</v>
      </c>
      <c r="B239" s="3" t="n">
        <v>46101</v>
      </c>
      <c r="C239" s="2" t="s">
        <v>13</v>
      </c>
      <c r="D239" s="2" t="s">
        <v>46</v>
      </c>
      <c r="E239" s="2" t="s">
        <v>47</v>
      </c>
      <c r="F239" s="2" t="s">
        <v>27</v>
      </c>
      <c r="G239" s="2" t="s">
        <v>17</v>
      </c>
      <c r="H239" s="2" t="s">
        <v>18</v>
      </c>
      <c r="I239" s="2" t="n">
        <v>11</v>
      </c>
      <c r="J239" s="4" t="n">
        <v>2752</v>
      </c>
      <c r="K239" s="4" t="n">
        <f aca="false">I239*J239</f>
        <v>30272</v>
      </c>
      <c r="L239" s="2" t="str">
        <f aca="false">TEXT(B239,"MMM-YYYY")</f>
        <v>Mar-2026</v>
      </c>
    </row>
    <row r="240" customFormat="false" ht="15" hidden="false" customHeight="false" outlineLevel="0" collapsed="false">
      <c r="A240" s="2" t="s">
        <v>287</v>
      </c>
      <c r="B240" s="3" t="n">
        <v>46101</v>
      </c>
      <c r="C240" s="2" t="s">
        <v>61</v>
      </c>
      <c r="D240" s="2" t="s">
        <v>46</v>
      </c>
      <c r="E240" s="2" t="s">
        <v>56</v>
      </c>
      <c r="F240" s="2" t="s">
        <v>38</v>
      </c>
      <c r="G240" s="2" t="s">
        <v>17</v>
      </c>
      <c r="H240" s="2" t="s">
        <v>28</v>
      </c>
      <c r="I240" s="2" t="n">
        <v>3</v>
      </c>
      <c r="J240" s="4" t="n">
        <v>2125</v>
      </c>
      <c r="K240" s="4" t="n">
        <f aca="false">I240*J240</f>
        <v>6375</v>
      </c>
      <c r="L240" s="2" t="str">
        <f aca="false">TEXT(B240,"MMM-YYYY")</f>
        <v>Mar-2026</v>
      </c>
    </row>
    <row r="241" customFormat="false" ht="15" hidden="false" customHeight="false" outlineLevel="0" collapsed="false">
      <c r="A241" s="2" t="s">
        <v>288</v>
      </c>
      <c r="B241" s="3" t="n">
        <v>46102</v>
      </c>
      <c r="C241" s="2" t="s">
        <v>25</v>
      </c>
      <c r="D241" s="2" t="s">
        <v>35</v>
      </c>
      <c r="E241" s="2" t="s">
        <v>77</v>
      </c>
      <c r="F241" s="2" t="s">
        <v>57</v>
      </c>
      <c r="G241" s="2" t="s">
        <v>32</v>
      </c>
      <c r="H241" s="2" t="s">
        <v>28</v>
      </c>
      <c r="I241" s="2" t="n">
        <v>8</v>
      </c>
      <c r="J241" s="4" t="n">
        <v>3489</v>
      </c>
      <c r="K241" s="4" t="n">
        <f aca="false">I241*J241</f>
        <v>27912</v>
      </c>
      <c r="L241" s="2" t="str">
        <f aca="false">TEXT(B241,"MMM-YYYY")</f>
        <v>Mar-2026</v>
      </c>
    </row>
    <row r="242" customFormat="false" ht="15" hidden="false" customHeight="false" outlineLevel="0" collapsed="false">
      <c r="A242" s="2" t="s">
        <v>289</v>
      </c>
      <c r="B242" s="3" t="n">
        <v>46103</v>
      </c>
      <c r="C242" s="2" t="s">
        <v>25</v>
      </c>
      <c r="D242" s="2" t="s">
        <v>14</v>
      </c>
      <c r="E242" s="2" t="s">
        <v>15</v>
      </c>
      <c r="F242" s="2" t="s">
        <v>40</v>
      </c>
      <c r="G242" s="2" t="s">
        <v>32</v>
      </c>
      <c r="H242" s="2" t="s">
        <v>33</v>
      </c>
      <c r="I242" s="2" t="n">
        <v>5</v>
      </c>
      <c r="J242" s="4" t="n">
        <v>1084</v>
      </c>
      <c r="K242" s="4" t="n">
        <f aca="false">I242*J242</f>
        <v>5420</v>
      </c>
      <c r="L242" s="2" t="str">
        <f aca="false">TEXT(B242,"MMM-YYYY")</f>
        <v>Mar-2026</v>
      </c>
    </row>
    <row r="243" customFormat="false" ht="15" hidden="false" customHeight="false" outlineLevel="0" collapsed="false">
      <c r="A243" s="2" t="s">
        <v>290</v>
      </c>
      <c r="B243" s="3" t="n">
        <v>46103</v>
      </c>
      <c r="C243" s="2" t="s">
        <v>61</v>
      </c>
      <c r="D243" s="2" t="s">
        <v>46</v>
      </c>
      <c r="E243" s="2" t="s">
        <v>50</v>
      </c>
      <c r="F243" s="2" t="s">
        <v>40</v>
      </c>
      <c r="G243" s="2" t="s">
        <v>41</v>
      </c>
      <c r="H243" s="2" t="s">
        <v>23</v>
      </c>
      <c r="I243" s="2" t="n">
        <v>9</v>
      </c>
      <c r="J243" s="4" t="n">
        <v>2285</v>
      </c>
      <c r="K243" s="4" t="n">
        <f aca="false">I243*J243</f>
        <v>20565</v>
      </c>
      <c r="L243" s="2" t="str">
        <f aca="false">TEXT(B243,"MMM-YYYY")</f>
        <v>Mar-2026</v>
      </c>
    </row>
    <row r="244" customFormat="false" ht="15" hidden="false" customHeight="false" outlineLevel="0" collapsed="false">
      <c r="A244" s="2" t="s">
        <v>291</v>
      </c>
      <c r="B244" s="3" t="n">
        <v>46105</v>
      </c>
      <c r="C244" s="2" t="s">
        <v>30</v>
      </c>
      <c r="D244" s="2" t="s">
        <v>46</v>
      </c>
      <c r="E244" s="2" t="s">
        <v>56</v>
      </c>
      <c r="F244" s="2" t="s">
        <v>38</v>
      </c>
      <c r="G244" s="2" t="s">
        <v>32</v>
      </c>
      <c r="H244" s="2" t="s">
        <v>23</v>
      </c>
      <c r="I244" s="2" t="n">
        <v>1</v>
      </c>
      <c r="J244" s="4" t="n">
        <v>2817</v>
      </c>
      <c r="K244" s="4" t="n">
        <f aca="false">I244*J244</f>
        <v>2817</v>
      </c>
      <c r="L244" s="2" t="str">
        <f aca="false">TEXT(B244,"MMM-YYYY")</f>
        <v>Mar-2026</v>
      </c>
    </row>
    <row r="245" customFormat="false" ht="15" hidden="false" customHeight="false" outlineLevel="0" collapsed="false">
      <c r="A245" s="2" t="s">
        <v>292</v>
      </c>
      <c r="B245" s="3" t="n">
        <v>46105</v>
      </c>
      <c r="C245" s="2" t="s">
        <v>13</v>
      </c>
      <c r="D245" s="2" t="s">
        <v>14</v>
      </c>
      <c r="E245" s="2" t="s">
        <v>15</v>
      </c>
      <c r="F245" s="2" t="s">
        <v>27</v>
      </c>
      <c r="G245" s="2" t="s">
        <v>17</v>
      </c>
      <c r="H245" s="2" t="s">
        <v>23</v>
      </c>
      <c r="I245" s="2" t="n">
        <v>4</v>
      </c>
      <c r="J245" s="4" t="n">
        <v>903</v>
      </c>
      <c r="K245" s="4" t="n">
        <f aca="false">I245*J245</f>
        <v>3612</v>
      </c>
      <c r="L245" s="2" t="str">
        <f aca="false">TEXT(B245,"MMM-YYYY")</f>
        <v>Mar-2026</v>
      </c>
    </row>
    <row r="246" customFormat="false" ht="15" hidden="false" customHeight="false" outlineLevel="0" collapsed="false">
      <c r="A246" s="2" t="s">
        <v>293</v>
      </c>
      <c r="B246" s="3" t="n">
        <v>46107</v>
      </c>
      <c r="C246" s="2" t="s">
        <v>25</v>
      </c>
      <c r="D246" s="2" t="s">
        <v>46</v>
      </c>
      <c r="E246" s="2" t="s">
        <v>64</v>
      </c>
      <c r="F246" s="2" t="s">
        <v>40</v>
      </c>
      <c r="G246" s="2" t="s">
        <v>41</v>
      </c>
      <c r="H246" s="2" t="s">
        <v>33</v>
      </c>
      <c r="I246" s="2" t="n">
        <v>6</v>
      </c>
      <c r="J246" s="4" t="n">
        <v>2838</v>
      </c>
      <c r="K246" s="4" t="n">
        <f aca="false">I246*J246</f>
        <v>17028</v>
      </c>
      <c r="L246" s="2" t="str">
        <f aca="false">TEXT(B246,"MMM-YYYY")</f>
        <v>Mar-2026</v>
      </c>
    </row>
    <row r="247" customFormat="false" ht="15" hidden="false" customHeight="false" outlineLevel="0" collapsed="false">
      <c r="A247" s="2" t="s">
        <v>294</v>
      </c>
      <c r="B247" s="3" t="n">
        <v>46108</v>
      </c>
      <c r="C247" s="2" t="s">
        <v>61</v>
      </c>
      <c r="D247" s="2" t="s">
        <v>46</v>
      </c>
      <c r="E247" s="2" t="s">
        <v>47</v>
      </c>
      <c r="F247" s="2" t="s">
        <v>40</v>
      </c>
      <c r="G247" s="2" t="s">
        <v>41</v>
      </c>
      <c r="H247" s="2" t="s">
        <v>23</v>
      </c>
      <c r="I247" s="2" t="n">
        <v>9</v>
      </c>
      <c r="J247" s="4" t="n">
        <v>2363</v>
      </c>
      <c r="K247" s="4" t="n">
        <f aca="false">I247*J247</f>
        <v>21267</v>
      </c>
      <c r="L247" s="2" t="str">
        <f aca="false">TEXT(B247,"MMM-YYYY")</f>
        <v>Mar-2026</v>
      </c>
    </row>
    <row r="248" customFormat="false" ht="15" hidden="false" customHeight="false" outlineLevel="0" collapsed="false">
      <c r="A248" s="2" t="s">
        <v>295</v>
      </c>
      <c r="B248" s="3" t="n">
        <v>46108</v>
      </c>
      <c r="C248" s="2" t="s">
        <v>30</v>
      </c>
      <c r="D248" s="2" t="s">
        <v>14</v>
      </c>
      <c r="E248" s="2" t="s">
        <v>95</v>
      </c>
      <c r="F248" s="2" t="s">
        <v>57</v>
      </c>
      <c r="G248" s="2" t="s">
        <v>41</v>
      </c>
      <c r="H248" s="2" t="s">
        <v>28</v>
      </c>
      <c r="I248" s="2" t="n">
        <v>4</v>
      </c>
      <c r="J248" s="4" t="n">
        <v>1010</v>
      </c>
      <c r="K248" s="4" t="n">
        <f aca="false">I248*J248</f>
        <v>4040</v>
      </c>
      <c r="L248" s="2" t="str">
        <f aca="false">TEXT(B248,"MMM-YYYY")</f>
        <v>Mar-2026</v>
      </c>
    </row>
    <row r="249" customFormat="false" ht="15" hidden="false" customHeight="false" outlineLevel="0" collapsed="false">
      <c r="A249" s="2" t="s">
        <v>296</v>
      </c>
      <c r="B249" s="3" t="n">
        <v>46109</v>
      </c>
      <c r="C249" s="2" t="s">
        <v>25</v>
      </c>
      <c r="D249" s="2" t="s">
        <v>35</v>
      </c>
      <c r="E249" s="2" t="s">
        <v>52</v>
      </c>
      <c r="F249" s="2" t="s">
        <v>38</v>
      </c>
      <c r="G249" s="2" t="s">
        <v>17</v>
      </c>
      <c r="H249" s="2" t="s">
        <v>33</v>
      </c>
      <c r="I249" s="2" t="n">
        <v>11</v>
      </c>
      <c r="J249" s="4" t="n">
        <v>2346</v>
      </c>
      <c r="K249" s="4" t="n">
        <f aca="false">I249*J249</f>
        <v>25806</v>
      </c>
      <c r="L249" s="2" t="str">
        <f aca="false">TEXT(B249,"MMM-YYYY")</f>
        <v>Mar-2026</v>
      </c>
    </row>
    <row r="250" customFormat="false" ht="15" hidden="false" customHeight="false" outlineLevel="0" collapsed="false">
      <c r="A250" s="2" t="s">
        <v>297</v>
      </c>
      <c r="B250" s="3" t="n">
        <v>46109</v>
      </c>
      <c r="C250" s="2" t="s">
        <v>25</v>
      </c>
      <c r="D250" s="2" t="s">
        <v>46</v>
      </c>
      <c r="E250" s="2" t="s">
        <v>50</v>
      </c>
      <c r="F250" s="2" t="s">
        <v>57</v>
      </c>
      <c r="G250" s="2" t="s">
        <v>41</v>
      </c>
      <c r="H250" s="2" t="s">
        <v>23</v>
      </c>
      <c r="I250" s="2" t="n">
        <v>2</v>
      </c>
      <c r="J250" s="4" t="n">
        <v>2787</v>
      </c>
      <c r="K250" s="4" t="n">
        <f aca="false">I250*J250</f>
        <v>5574</v>
      </c>
      <c r="L250" s="2" t="str">
        <f aca="false">TEXT(B250,"MMM-YYYY")</f>
        <v>Mar-2026</v>
      </c>
    </row>
    <row r="251" customFormat="false" ht="15" hidden="false" customHeight="false" outlineLevel="0" collapsed="false">
      <c r="A251" s="2" t="s">
        <v>298</v>
      </c>
      <c r="B251" s="3" t="n">
        <v>46109</v>
      </c>
      <c r="C251" s="2" t="s">
        <v>25</v>
      </c>
      <c r="D251" s="2" t="s">
        <v>14</v>
      </c>
      <c r="E251" s="2" t="s">
        <v>15</v>
      </c>
      <c r="F251" s="2" t="s">
        <v>40</v>
      </c>
      <c r="G251" s="2" t="s">
        <v>17</v>
      </c>
      <c r="H251" s="2" t="s">
        <v>28</v>
      </c>
      <c r="I251" s="2" t="n">
        <v>3</v>
      </c>
      <c r="J251" s="4" t="n">
        <v>1042</v>
      </c>
      <c r="K251" s="4" t="n">
        <f aca="false">I251*J251</f>
        <v>3126</v>
      </c>
      <c r="L251" s="2" t="str">
        <f aca="false">TEXT(B251,"MMM-YYYY")</f>
        <v>Mar-2026</v>
      </c>
    </row>
    <row r="252" customFormat="false" ht="15" hidden="false" customHeight="false" outlineLevel="0" collapsed="false">
      <c r="A252" s="2" t="s">
        <v>299</v>
      </c>
      <c r="B252" s="3" t="n">
        <v>46112</v>
      </c>
      <c r="C252" s="2" t="s">
        <v>25</v>
      </c>
      <c r="D252" s="2" t="s">
        <v>46</v>
      </c>
      <c r="E252" s="2" t="s">
        <v>64</v>
      </c>
      <c r="F252" s="2" t="s">
        <v>40</v>
      </c>
      <c r="G252" s="2" t="s">
        <v>32</v>
      </c>
      <c r="H252" s="2" t="s">
        <v>33</v>
      </c>
      <c r="I252" s="2" t="n">
        <v>5</v>
      </c>
      <c r="J252" s="4" t="n">
        <v>2548</v>
      </c>
      <c r="K252" s="4" t="n">
        <f aca="false">I252*J252</f>
        <v>12740</v>
      </c>
      <c r="L252" s="2" t="str">
        <f aca="false">TEXT(B252,"MMM-YYYY")</f>
        <v>Mar-2026</v>
      </c>
    </row>
    <row r="253" customFormat="false" ht="15" hidden="false" customHeight="false" outlineLevel="0" collapsed="false">
      <c r="A253" s="2" t="s">
        <v>300</v>
      </c>
      <c r="B253" s="3" t="n">
        <v>46113</v>
      </c>
      <c r="C253" s="2" t="s">
        <v>30</v>
      </c>
      <c r="D253" s="2" t="s">
        <v>14</v>
      </c>
      <c r="E253" s="2" t="s">
        <v>95</v>
      </c>
      <c r="F253" s="2" t="s">
        <v>27</v>
      </c>
      <c r="G253" s="2" t="s">
        <v>41</v>
      </c>
      <c r="H253" s="2" t="s">
        <v>18</v>
      </c>
      <c r="I253" s="2" t="n">
        <v>5</v>
      </c>
      <c r="J253" s="4" t="n">
        <v>1088</v>
      </c>
      <c r="K253" s="4" t="n">
        <f aca="false">I253*J253</f>
        <v>5440</v>
      </c>
      <c r="L253" s="2" t="str">
        <f aca="false">TEXT(B253,"MMM-YYYY")</f>
        <v>Apr-2026</v>
      </c>
    </row>
    <row r="254" customFormat="false" ht="15" hidden="false" customHeight="false" outlineLevel="0" collapsed="false">
      <c r="A254" s="2" t="s">
        <v>301</v>
      </c>
      <c r="B254" s="3" t="n">
        <v>46113</v>
      </c>
      <c r="C254" s="2" t="s">
        <v>61</v>
      </c>
      <c r="D254" s="2" t="s">
        <v>46</v>
      </c>
      <c r="E254" s="2" t="s">
        <v>47</v>
      </c>
      <c r="F254" s="2" t="s">
        <v>16</v>
      </c>
      <c r="G254" s="2" t="s">
        <v>17</v>
      </c>
      <c r="H254" s="2" t="s">
        <v>28</v>
      </c>
      <c r="I254" s="2" t="n">
        <v>4</v>
      </c>
      <c r="J254" s="4" t="n">
        <v>1891</v>
      </c>
      <c r="K254" s="4" t="n">
        <f aca="false">I254*J254</f>
        <v>7564</v>
      </c>
      <c r="L254" s="2" t="str">
        <f aca="false">TEXT(B254,"MMM-YYYY")</f>
        <v>Apr-2026</v>
      </c>
    </row>
    <row r="255" customFormat="false" ht="15" hidden="false" customHeight="false" outlineLevel="0" collapsed="false">
      <c r="A255" s="2" t="s">
        <v>302</v>
      </c>
      <c r="B255" s="3" t="n">
        <v>46116</v>
      </c>
      <c r="C255" s="2" t="s">
        <v>13</v>
      </c>
      <c r="D255" s="2" t="s">
        <v>20</v>
      </c>
      <c r="E255" s="2" t="s">
        <v>43</v>
      </c>
      <c r="F255" s="2" t="s">
        <v>16</v>
      </c>
      <c r="G255" s="2" t="s">
        <v>17</v>
      </c>
      <c r="H255" s="2" t="s">
        <v>23</v>
      </c>
      <c r="I255" s="2" t="n">
        <v>1</v>
      </c>
      <c r="J255" s="4" t="n">
        <v>5226</v>
      </c>
      <c r="K255" s="4" t="n">
        <f aca="false">I255*J255</f>
        <v>5226</v>
      </c>
      <c r="L255" s="2" t="str">
        <f aca="false">TEXT(B255,"MMM-YYYY")</f>
        <v>Apr-2026</v>
      </c>
    </row>
    <row r="256" customFormat="false" ht="15" hidden="false" customHeight="false" outlineLevel="0" collapsed="false">
      <c r="A256" s="2" t="s">
        <v>303</v>
      </c>
      <c r="B256" s="3" t="n">
        <v>46117</v>
      </c>
      <c r="C256" s="2" t="s">
        <v>13</v>
      </c>
      <c r="D256" s="2" t="s">
        <v>14</v>
      </c>
      <c r="E256" s="2" t="s">
        <v>26</v>
      </c>
      <c r="F256" s="2" t="s">
        <v>27</v>
      </c>
      <c r="G256" s="2" t="s">
        <v>32</v>
      </c>
      <c r="H256" s="2" t="s">
        <v>23</v>
      </c>
      <c r="I256" s="2" t="n">
        <v>11</v>
      </c>
      <c r="J256" s="4" t="n">
        <v>868</v>
      </c>
      <c r="K256" s="4" t="n">
        <f aca="false">I256*J256</f>
        <v>9548</v>
      </c>
      <c r="L256" s="2" t="str">
        <f aca="false">TEXT(B256,"MMM-YYYY")</f>
        <v>Apr-2026</v>
      </c>
    </row>
    <row r="257" customFormat="false" ht="15" hidden="false" customHeight="false" outlineLevel="0" collapsed="false">
      <c r="A257" s="2" t="s">
        <v>304</v>
      </c>
      <c r="B257" s="3" t="n">
        <v>46117</v>
      </c>
      <c r="C257" s="2" t="s">
        <v>13</v>
      </c>
      <c r="D257" s="2" t="s">
        <v>46</v>
      </c>
      <c r="E257" s="2" t="s">
        <v>47</v>
      </c>
      <c r="F257" s="2" t="s">
        <v>27</v>
      </c>
      <c r="G257" s="2" t="s">
        <v>17</v>
      </c>
      <c r="H257" s="2" t="s">
        <v>23</v>
      </c>
      <c r="I257" s="2" t="n">
        <v>12</v>
      </c>
      <c r="J257" s="4" t="n">
        <v>2498</v>
      </c>
      <c r="K257" s="4" t="n">
        <f aca="false">I257*J257</f>
        <v>29976</v>
      </c>
      <c r="L257" s="2" t="str">
        <f aca="false">TEXT(B257,"MMM-YYYY")</f>
        <v>Apr-2026</v>
      </c>
    </row>
    <row r="258" customFormat="false" ht="15" hidden="false" customHeight="false" outlineLevel="0" collapsed="false">
      <c r="A258" s="2" t="s">
        <v>305</v>
      </c>
      <c r="B258" s="3" t="n">
        <v>46118</v>
      </c>
      <c r="C258" s="2" t="s">
        <v>25</v>
      </c>
      <c r="D258" s="2" t="s">
        <v>46</v>
      </c>
      <c r="E258" s="2" t="s">
        <v>56</v>
      </c>
      <c r="F258" s="2" t="s">
        <v>40</v>
      </c>
      <c r="G258" s="2" t="s">
        <v>17</v>
      </c>
      <c r="H258" s="2" t="s">
        <v>23</v>
      </c>
      <c r="I258" s="2" t="n">
        <v>6</v>
      </c>
      <c r="J258" s="4" t="n">
        <v>1864</v>
      </c>
      <c r="K258" s="4" t="n">
        <f aca="false">I258*J258</f>
        <v>11184</v>
      </c>
      <c r="L258" s="2" t="str">
        <f aca="false">TEXT(B258,"MMM-YYYY")</f>
        <v>Apr-2026</v>
      </c>
    </row>
    <row r="259" customFormat="false" ht="15" hidden="false" customHeight="false" outlineLevel="0" collapsed="false">
      <c r="A259" s="2" t="s">
        <v>306</v>
      </c>
      <c r="B259" s="3" t="n">
        <v>46118</v>
      </c>
      <c r="C259" s="2" t="s">
        <v>30</v>
      </c>
      <c r="D259" s="2" t="s">
        <v>14</v>
      </c>
      <c r="E259" s="2" t="s">
        <v>31</v>
      </c>
      <c r="F259" s="2" t="s">
        <v>22</v>
      </c>
      <c r="G259" s="2" t="s">
        <v>32</v>
      </c>
      <c r="H259" s="2" t="s">
        <v>33</v>
      </c>
      <c r="I259" s="2" t="n">
        <v>8</v>
      </c>
      <c r="J259" s="4" t="n">
        <v>805</v>
      </c>
      <c r="K259" s="4" t="n">
        <f aca="false">I259*J259</f>
        <v>6440</v>
      </c>
      <c r="L259" s="2" t="str">
        <f aca="false">TEXT(B259,"MMM-YYYY")</f>
        <v>Apr-2026</v>
      </c>
    </row>
    <row r="260" customFormat="false" ht="15" hidden="false" customHeight="false" outlineLevel="0" collapsed="false">
      <c r="A260" s="2" t="s">
        <v>307</v>
      </c>
      <c r="B260" s="3" t="n">
        <v>46119</v>
      </c>
      <c r="C260" s="2" t="s">
        <v>61</v>
      </c>
      <c r="D260" s="2" t="s">
        <v>35</v>
      </c>
      <c r="E260" s="2" t="s">
        <v>77</v>
      </c>
      <c r="F260" s="2" t="s">
        <v>16</v>
      </c>
      <c r="G260" s="2" t="s">
        <v>17</v>
      </c>
      <c r="H260" s="2" t="s">
        <v>18</v>
      </c>
      <c r="I260" s="2" t="n">
        <v>12</v>
      </c>
      <c r="J260" s="4" t="n">
        <v>2720</v>
      </c>
      <c r="K260" s="4" t="n">
        <f aca="false">I260*J260</f>
        <v>32640</v>
      </c>
      <c r="L260" s="2" t="str">
        <f aca="false">TEXT(B260,"MMM-YYYY")</f>
        <v>Apr-2026</v>
      </c>
    </row>
    <row r="261" customFormat="false" ht="15" hidden="false" customHeight="false" outlineLevel="0" collapsed="false">
      <c r="A261" s="2" t="s">
        <v>308</v>
      </c>
      <c r="B261" s="3" t="n">
        <v>46119</v>
      </c>
      <c r="C261" s="2" t="s">
        <v>13</v>
      </c>
      <c r="D261" s="2" t="s">
        <v>14</v>
      </c>
      <c r="E261" s="2" t="s">
        <v>31</v>
      </c>
      <c r="F261" s="2" t="s">
        <v>40</v>
      </c>
      <c r="G261" s="2" t="s">
        <v>32</v>
      </c>
      <c r="H261" s="2" t="s">
        <v>18</v>
      </c>
      <c r="I261" s="2" t="n">
        <v>3</v>
      </c>
      <c r="J261" s="4" t="n">
        <v>883</v>
      </c>
      <c r="K261" s="4" t="n">
        <f aca="false">I261*J261</f>
        <v>2649</v>
      </c>
      <c r="L261" s="2" t="str">
        <f aca="false">TEXT(B261,"MMM-YYYY")</f>
        <v>Apr-2026</v>
      </c>
    </row>
    <row r="262" customFormat="false" ht="15" hidden="false" customHeight="false" outlineLevel="0" collapsed="false">
      <c r="A262" s="2" t="s">
        <v>309</v>
      </c>
      <c r="B262" s="3" t="n">
        <v>46121</v>
      </c>
      <c r="C262" s="2" t="s">
        <v>30</v>
      </c>
      <c r="D262" s="2" t="s">
        <v>20</v>
      </c>
      <c r="E262" s="2" t="s">
        <v>43</v>
      </c>
      <c r="F262" s="2" t="s">
        <v>16</v>
      </c>
      <c r="G262" s="2" t="s">
        <v>17</v>
      </c>
      <c r="H262" s="2" t="s">
        <v>18</v>
      </c>
      <c r="I262" s="2" t="n">
        <v>3</v>
      </c>
      <c r="J262" s="4" t="n">
        <v>4517</v>
      </c>
      <c r="K262" s="4" t="n">
        <f aca="false">I262*J262</f>
        <v>13551</v>
      </c>
      <c r="L262" s="2" t="str">
        <f aca="false">TEXT(B262,"MMM-YYYY")</f>
        <v>Apr-2026</v>
      </c>
    </row>
    <row r="263" customFormat="false" ht="15" hidden="false" customHeight="false" outlineLevel="0" collapsed="false">
      <c r="A263" s="2" t="s">
        <v>310</v>
      </c>
      <c r="B263" s="3" t="n">
        <v>46122</v>
      </c>
      <c r="C263" s="2" t="s">
        <v>30</v>
      </c>
      <c r="D263" s="2" t="s">
        <v>20</v>
      </c>
      <c r="E263" s="2" t="s">
        <v>21</v>
      </c>
      <c r="F263" s="2" t="s">
        <v>22</v>
      </c>
      <c r="G263" s="2" t="s">
        <v>32</v>
      </c>
      <c r="H263" s="2" t="s">
        <v>33</v>
      </c>
      <c r="I263" s="2" t="n">
        <v>3</v>
      </c>
      <c r="J263" s="4" t="n">
        <v>3859</v>
      </c>
      <c r="K263" s="4" t="n">
        <f aca="false">I263*J263</f>
        <v>11577</v>
      </c>
      <c r="L263" s="2" t="str">
        <f aca="false">TEXT(B263,"MMM-YYYY")</f>
        <v>Apr-2026</v>
      </c>
    </row>
    <row r="264" customFormat="false" ht="15" hidden="false" customHeight="false" outlineLevel="0" collapsed="false">
      <c r="A264" s="2" t="s">
        <v>311</v>
      </c>
      <c r="B264" s="3" t="n">
        <v>46123</v>
      </c>
      <c r="C264" s="2" t="s">
        <v>25</v>
      </c>
      <c r="D264" s="2" t="s">
        <v>46</v>
      </c>
      <c r="E264" s="2" t="s">
        <v>56</v>
      </c>
      <c r="F264" s="2" t="s">
        <v>27</v>
      </c>
      <c r="G264" s="2" t="s">
        <v>32</v>
      </c>
      <c r="H264" s="2" t="s">
        <v>23</v>
      </c>
      <c r="I264" s="2" t="n">
        <v>10</v>
      </c>
      <c r="J264" s="4" t="n">
        <v>2099</v>
      </c>
      <c r="K264" s="4" t="n">
        <f aca="false">I264*J264</f>
        <v>20990</v>
      </c>
      <c r="L264" s="2" t="str">
        <f aca="false">TEXT(B264,"MMM-YYYY")</f>
        <v>Apr-2026</v>
      </c>
    </row>
    <row r="265" customFormat="false" ht="15" hidden="false" customHeight="false" outlineLevel="0" collapsed="false">
      <c r="A265" s="2" t="s">
        <v>312</v>
      </c>
      <c r="B265" s="3" t="n">
        <v>46123</v>
      </c>
      <c r="C265" s="2" t="s">
        <v>61</v>
      </c>
      <c r="D265" s="2" t="s">
        <v>35</v>
      </c>
      <c r="E265" s="2" t="s">
        <v>77</v>
      </c>
      <c r="F265" s="2" t="s">
        <v>22</v>
      </c>
      <c r="G265" s="2" t="s">
        <v>17</v>
      </c>
      <c r="H265" s="2" t="s">
        <v>28</v>
      </c>
      <c r="I265" s="2" t="n">
        <v>10</v>
      </c>
      <c r="J265" s="4" t="n">
        <v>3156</v>
      </c>
      <c r="K265" s="4" t="n">
        <f aca="false">I265*J265</f>
        <v>31560</v>
      </c>
      <c r="L265" s="2" t="str">
        <f aca="false">TEXT(B265,"MMM-YYYY")</f>
        <v>Apr-2026</v>
      </c>
    </row>
    <row r="266" customFormat="false" ht="15" hidden="false" customHeight="false" outlineLevel="0" collapsed="false">
      <c r="A266" s="2" t="s">
        <v>313</v>
      </c>
      <c r="B266" s="3" t="n">
        <v>46124</v>
      </c>
      <c r="C266" s="2" t="s">
        <v>61</v>
      </c>
      <c r="D266" s="2" t="s">
        <v>46</v>
      </c>
      <c r="E266" s="2" t="s">
        <v>56</v>
      </c>
      <c r="F266" s="2" t="s">
        <v>57</v>
      </c>
      <c r="G266" s="2" t="s">
        <v>41</v>
      </c>
      <c r="H266" s="2" t="s">
        <v>28</v>
      </c>
      <c r="I266" s="2" t="n">
        <v>12</v>
      </c>
      <c r="J266" s="4" t="n">
        <v>1955</v>
      </c>
      <c r="K266" s="4" t="n">
        <f aca="false">I266*J266</f>
        <v>23460</v>
      </c>
      <c r="L266" s="2" t="str">
        <f aca="false">TEXT(B266,"MMM-YYYY")</f>
        <v>Apr-2026</v>
      </c>
    </row>
    <row r="267" customFormat="false" ht="15" hidden="false" customHeight="false" outlineLevel="0" collapsed="false">
      <c r="A267" s="2" t="s">
        <v>314</v>
      </c>
      <c r="B267" s="3" t="n">
        <v>46124</v>
      </c>
      <c r="C267" s="2" t="s">
        <v>61</v>
      </c>
      <c r="D267" s="2" t="s">
        <v>14</v>
      </c>
      <c r="E267" s="2" t="s">
        <v>15</v>
      </c>
      <c r="F267" s="2" t="s">
        <v>22</v>
      </c>
      <c r="G267" s="2" t="s">
        <v>32</v>
      </c>
      <c r="H267" s="2" t="s">
        <v>33</v>
      </c>
      <c r="I267" s="2" t="n">
        <v>8</v>
      </c>
      <c r="J267" s="4" t="n">
        <v>1035</v>
      </c>
      <c r="K267" s="4" t="n">
        <f aca="false">I267*J267</f>
        <v>8280</v>
      </c>
      <c r="L267" s="2" t="str">
        <f aca="false">TEXT(B267,"MMM-YYYY")</f>
        <v>Apr-2026</v>
      </c>
    </row>
    <row r="268" customFormat="false" ht="15" hidden="false" customHeight="false" outlineLevel="0" collapsed="false">
      <c r="A268" s="2" t="s">
        <v>315</v>
      </c>
      <c r="B268" s="3" t="n">
        <v>46125</v>
      </c>
      <c r="C268" s="2" t="s">
        <v>13</v>
      </c>
      <c r="D268" s="2" t="s">
        <v>46</v>
      </c>
      <c r="E268" s="2" t="s">
        <v>64</v>
      </c>
      <c r="F268" s="2" t="s">
        <v>57</v>
      </c>
      <c r="G268" s="2" t="s">
        <v>17</v>
      </c>
      <c r="H268" s="2" t="s">
        <v>33</v>
      </c>
      <c r="I268" s="2" t="n">
        <v>10</v>
      </c>
      <c r="J268" s="4" t="n">
        <v>2015</v>
      </c>
      <c r="K268" s="4" t="n">
        <f aca="false">I268*J268</f>
        <v>20150</v>
      </c>
      <c r="L268" s="2" t="str">
        <f aca="false">TEXT(B268,"MMM-YYYY")</f>
        <v>Apr-2026</v>
      </c>
    </row>
    <row r="269" customFormat="false" ht="15" hidden="false" customHeight="false" outlineLevel="0" collapsed="false">
      <c r="A269" s="2" t="s">
        <v>316</v>
      </c>
      <c r="B269" s="3" t="n">
        <v>46125</v>
      </c>
      <c r="C269" s="2" t="s">
        <v>30</v>
      </c>
      <c r="D269" s="2" t="s">
        <v>35</v>
      </c>
      <c r="E269" s="2" t="s">
        <v>72</v>
      </c>
      <c r="F269" s="2" t="s">
        <v>38</v>
      </c>
      <c r="G269" s="2" t="s">
        <v>41</v>
      </c>
      <c r="H269" s="2" t="s">
        <v>28</v>
      </c>
      <c r="I269" s="2" t="n">
        <v>3</v>
      </c>
      <c r="J269" s="4" t="n">
        <v>3392</v>
      </c>
      <c r="K269" s="4" t="n">
        <f aca="false">I269*J269</f>
        <v>10176</v>
      </c>
      <c r="L269" s="2" t="str">
        <f aca="false">TEXT(B269,"MMM-YYYY")</f>
        <v>Apr-2026</v>
      </c>
    </row>
    <row r="270" customFormat="false" ht="15" hidden="false" customHeight="false" outlineLevel="0" collapsed="false">
      <c r="A270" s="2" t="s">
        <v>317</v>
      </c>
      <c r="B270" s="3" t="n">
        <v>46128</v>
      </c>
      <c r="C270" s="2" t="s">
        <v>25</v>
      </c>
      <c r="D270" s="2" t="s">
        <v>46</v>
      </c>
      <c r="E270" s="2" t="s">
        <v>47</v>
      </c>
      <c r="F270" s="2" t="s">
        <v>57</v>
      </c>
      <c r="G270" s="2" t="s">
        <v>41</v>
      </c>
      <c r="H270" s="2" t="s">
        <v>18</v>
      </c>
      <c r="I270" s="2" t="n">
        <v>11</v>
      </c>
      <c r="J270" s="4" t="n">
        <v>2661</v>
      </c>
      <c r="K270" s="4" t="n">
        <f aca="false">I270*J270</f>
        <v>29271</v>
      </c>
      <c r="L270" s="2" t="str">
        <f aca="false">TEXT(B270,"MMM-YYYY")</f>
        <v>Apr-2026</v>
      </c>
    </row>
    <row r="271" customFormat="false" ht="15" hidden="false" customHeight="false" outlineLevel="0" collapsed="false">
      <c r="A271" s="2" t="s">
        <v>318</v>
      </c>
      <c r="B271" s="3" t="n">
        <v>46129</v>
      </c>
      <c r="C271" s="2" t="s">
        <v>30</v>
      </c>
      <c r="D271" s="2" t="s">
        <v>46</v>
      </c>
      <c r="E271" s="2" t="s">
        <v>47</v>
      </c>
      <c r="F271" s="2" t="s">
        <v>22</v>
      </c>
      <c r="G271" s="2" t="s">
        <v>17</v>
      </c>
      <c r="H271" s="2" t="s">
        <v>33</v>
      </c>
      <c r="I271" s="2" t="n">
        <v>1</v>
      </c>
      <c r="J271" s="4" t="n">
        <v>2670</v>
      </c>
      <c r="K271" s="4" t="n">
        <f aca="false">I271*J271</f>
        <v>2670</v>
      </c>
      <c r="L271" s="2" t="str">
        <f aca="false">TEXT(B271,"MMM-YYYY")</f>
        <v>Apr-2026</v>
      </c>
    </row>
    <row r="272" customFormat="false" ht="15" hidden="false" customHeight="false" outlineLevel="0" collapsed="false">
      <c r="A272" s="2" t="s">
        <v>319</v>
      </c>
      <c r="B272" s="3" t="n">
        <v>46129</v>
      </c>
      <c r="C272" s="2" t="s">
        <v>61</v>
      </c>
      <c r="D272" s="2" t="s">
        <v>35</v>
      </c>
      <c r="E272" s="2" t="s">
        <v>52</v>
      </c>
      <c r="F272" s="2" t="s">
        <v>38</v>
      </c>
      <c r="G272" s="2" t="s">
        <v>17</v>
      </c>
      <c r="H272" s="2" t="s">
        <v>23</v>
      </c>
      <c r="I272" s="2" t="n">
        <v>2</v>
      </c>
      <c r="J272" s="4" t="n">
        <v>3054</v>
      </c>
      <c r="K272" s="4" t="n">
        <f aca="false">I272*J272</f>
        <v>6108</v>
      </c>
      <c r="L272" s="2" t="str">
        <f aca="false">TEXT(B272,"MMM-YYYY")</f>
        <v>Apr-2026</v>
      </c>
    </row>
    <row r="273" customFormat="false" ht="15" hidden="false" customHeight="false" outlineLevel="0" collapsed="false">
      <c r="A273" s="2" t="s">
        <v>320</v>
      </c>
      <c r="B273" s="3" t="n">
        <v>46129</v>
      </c>
      <c r="C273" s="2" t="s">
        <v>25</v>
      </c>
      <c r="D273" s="2" t="s">
        <v>46</v>
      </c>
      <c r="E273" s="2" t="s">
        <v>56</v>
      </c>
      <c r="F273" s="2" t="s">
        <v>22</v>
      </c>
      <c r="G273" s="2" t="s">
        <v>17</v>
      </c>
      <c r="H273" s="2" t="s">
        <v>28</v>
      </c>
      <c r="I273" s="2" t="n">
        <v>6</v>
      </c>
      <c r="J273" s="4" t="n">
        <v>2396</v>
      </c>
      <c r="K273" s="4" t="n">
        <f aca="false">I273*J273</f>
        <v>14376</v>
      </c>
      <c r="L273" s="2" t="str">
        <f aca="false">TEXT(B273,"MMM-YYYY")</f>
        <v>Apr-2026</v>
      </c>
    </row>
    <row r="274" customFormat="false" ht="15" hidden="false" customHeight="false" outlineLevel="0" collapsed="false">
      <c r="A274" s="2" t="s">
        <v>321</v>
      </c>
      <c r="B274" s="3" t="n">
        <v>46130</v>
      </c>
      <c r="C274" s="2" t="s">
        <v>61</v>
      </c>
      <c r="D274" s="2" t="s">
        <v>35</v>
      </c>
      <c r="E274" s="2" t="s">
        <v>72</v>
      </c>
      <c r="F274" s="2" t="s">
        <v>27</v>
      </c>
      <c r="G274" s="2" t="s">
        <v>17</v>
      </c>
      <c r="H274" s="2" t="s">
        <v>23</v>
      </c>
      <c r="I274" s="2" t="n">
        <v>9</v>
      </c>
      <c r="J274" s="4" t="n">
        <v>3490</v>
      </c>
      <c r="K274" s="4" t="n">
        <f aca="false">I274*J274</f>
        <v>31410</v>
      </c>
      <c r="L274" s="2" t="str">
        <f aca="false">TEXT(B274,"MMM-YYYY")</f>
        <v>Apr-2026</v>
      </c>
    </row>
    <row r="275" customFormat="false" ht="15" hidden="false" customHeight="false" outlineLevel="0" collapsed="false">
      <c r="A275" s="2" t="s">
        <v>322</v>
      </c>
      <c r="B275" s="3" t="n">
        <v>46131</v>
      </c>
      <c r="C275" s="2" t="s">
        <v>30</v>
      </c>
      <c r="D275" s="2" t="s">
        <v>14</v>
      </c>
      <c r="E275" s="2" t="s">
        <v>26</v>
      </c>
      <c r="F275" s="2" t="s">
        <v>40</v>
      </c>
      <c r="G275" s="2" t="s">
        <v>41</v>
      </c>
      <c r="H275" s="2" t="s">
        <v>23</v>
      </c>
      <c r="I275" s="2" t="n">
        <v>1</v>
      </c>
      <c r="J275" s="4" t="n">
        <v>1106</v>
      </c>
      <c r="K275" s="4" t="n">
        <f aca="false">I275*J275</f>
        <v>1106</v>
      </c>
      <c r="L275" s="2" t="str">
        <f aca="false">TEXT(B275,"MMM-YYYY")</f>
        <v>Apr-2026</v>
      </c>
    </row>
    <row r="276" customFormat="false" ht="15" hidden="false" customHeight="false" outlineLevel="0" collapsed="false">
      <c r="A276" s="2" t="s">
        <v>323</v>
      </c>
      <c r="B276" s="3" t="n">
        <v>46132</v>
      </c>
      <c r="C276" s="2" t="s">
        <v>25</v>
      </c>
      <c r="D276" s="2" t="s">
        <v>20</v>
      </c>
      <c r="E276" s="2" t="s">
        <v>70</v>
      </c>
      <c r="F276" s="2" t="s">
        <v>22</v>
      </c>
      <c r="G276" s="2" t="s">
        <v>41</v>
      </c>
      <c r="H276" s="2" t="s">
        <v>28</v>
      </c>
      <c r="I276" s="2" t="n">
        <v>2</v>
      </c>
      <c r="J276" s="4" t="n">
        <v>4107</v>
      </c>
      <c r="K276" s="4" t="n">
        <f aca="false">I276*J276</f>
        <v>8214</v>
      </c>
      <c r="L276" s="2" t="str">
        <f aca="false">TEXT(B276,"MMM-YYYY")</f>
        <v>Apr-2026</v>
      </c>
    </row>
    <row r="277" customFormat="false" ht="15" hidden="false" customHeight="false" outlineLevel="0" collapsed="false">
      <c r="A277" s="2" t="s">
        <v>324</v>
      </c>
      <c r="B277" s="3" t="n">
        <v>46133</v>
      </c>
      <c r="C277" s="2" t="s">
        <v>25</v>
      </c>
      <c r="D277" s="2" t="s">
        <v>14</v>
      </c>
      <c r="E277" s="2" t="s">
        <v>15</v>
      </c>
      <c r="F277" s="2" t="s">
        <v>16</v>
      </c>
      <c r="G277" s="2" t="s">
        <v>17</v>
      </c>
      <c r="H277" s="2" t="s">
        <v>23</v>
      </c>
      <c r="I277" s="2" t="n">
        <v>7</v>
      </c>
      <c r="J277" s="4" t="n">
        <v>1123</v>
      </c>
      <c r="K277" s="4" t="n">
        <f aca="false">I277*J277</f>
        <v>7861</v>
      </c>
      <c r="L277" s="2" t="str">
        <f aca="false">TEXT(B277,"MMM-YYYY")</f>
        <v>Apr-2026</v>
      </c>
    </row>
    <row r="278" customFormat="false" ht="15" hidden="false" customHeight="false" outlineLevel="0" collapsed="false">
      <c r="A278" s="2" t="s">
        <v>325</v>
      </c>
      <c r="B278" s="3" t="n">
        <v>46135</v>
      </c>
      <c r="C278" s="2" t="s">
        <v>25</v>
      </c>
      <c r="D278" s="2" t="s">
        <v>46</v>
      </c>
      <c r="E278" s="2" t="s">
        <v>50</v>
      </c>
      <c r="F278" s="2" t="s">
        <v>27</v>
      </c>
      <c r="G278" s="2" t="s">
        <v>32</v>
      </c>
      <c r="H278" s="2" t="s">
        <v>18</v>
      </c>
      <c r="I278" s="2" t="n">
        <v>10</v>
      </c>
      <c r="J278" s="4" t="n">
        <v>2662</v>
      </c>
      <c r="K278" s="4" t="n">
        <f aca="false">I278*J278</f>
        <v>26620</v>
      </c>
      <c r="L278" s="2" t="str">
        <f aca="false">TEXT(B278,"MMM-YYYY")</f>
        <v>Apr-2026</v>
      </c>
    </row>
    <row r="279" customFormat="false" ht="15" hidden="false" customHeight="false" outlineLevel="0" collapsed="false">
      <c r="A279" s="2" t="s">
        <v>326</v>
      </c>
      <c r="B279" s="3" t="n">
        <v>46136</v>
      </c>
      <c r="C279" s="2" t="s">
        <v>30</v>
      </c>
      <c r="D279" s="2" t="s">
        <v>46</v>
      </c>
      <c r="E279" s="2" t="s">
        <v>47</v>
      </c>
      <c r="F279" s="2" t="s">
        <v>38</v>
      </c>
      <c r="G279" s="2" t="s">
        <v>41</v>
      </c>
      <c r="H279" s="2" t="s">
        <v>23</v>
      </c>
      <c r="I279" s="2" t="n">
        <v>5</v>
      </c>
      <c r="J279" s="4" t="n">
        <v>1899</v>
      </c>
      <c r="K279" s="4" t="n">
        <f aca="false">I279*J279</f>
        <v>9495</v>
      </c>
      <c r="L279" s="2" t="str">
        <f aca="false">TEXT(B279,"MMM-YYYY")</f>
        <v>Apr-2026</v>
      </c>
    </row>
    <row r="280" customFormat="false" ht="15" hidden="false" customHeight="false" outlineLevel="0" collapsed="false">
      <c r="A280" s="2" t="s">
        <v>327</v>
      </c>
      <c r="B280" s="3" t="n">
        <v>46137</v>
      </c>
      <c r="C280" s="2" t="s">
        <v>61</v>
      </c>
      <c r="D280" s="2" t="s">
        <v>46</v>
      </c>
      <c r="E280" s="2" t="s">
        <v>47</v>
      </c>
      <c r="F280" s="2" t="s">
        <v>22</v>
      </c>
      <c r="G280" s="2" t="s">
        <v>32</v>
      </c>
      <c r="H280" s="2" t="s">
        <v>18</v>
      </c>
      <c r="I280" s="2" t="n">
        <v>1</v>
      </c>
      <c r="J280" s="4" t="n">
        <v>2621</v>
      </c>
      <c r="K280" s="4" t="n">
        <f aca="false">I280*J280</f>
        <v>2621</v>
      </c>
      <c r="L280" s="2" t="str">
        <f aca="false">TEXT(B280,"MMM-YYYY")</f>
        <v>Apr-2026</v>
      </c>
    </row>
    <row r="281" customFormat="false" ht="15" hidden="false" customHeight="false" outlineLevel="0" collapsed="false">
      <c r="A281" s="2" t="s">
        <v>328</v>
      </c>
      <c r="B281" s="3" t="n">
        <v>46137</v>
      </c>
      <c r="C281" s="2" t="s">
        <v>61</v>
      </c>
      <c r="D281" s="2" t="s">
        <v>46</v>
      </c>
      <c r="E281" s="2" t="s">
        <v>56</v>
      </c>
      <c r="F281" s="2" t="s">
        <v>22</v>
      </c>
      <c r="G281" s="2" t="s">
        <v>41</v>
      </c>
      <c r="H281" s="2" t="s">
        <v>18</v>
      </c>
      <c r="I281" s="2" t="n">
        <v>3</v>
      </c>
      <c r="J281" s="4" t="n">
        <v>2046</v>
      </c>
      <c r="K281" s="4" t="n">
        <f aca="false">I281*J281</f>
        <v>6138</v>
      </c>
      <c r="L281" s="2" t="str">
        <f aca="false">TEXT(B281,"MMM-YYYY")</f>
        <v>Apr-2026</v>
      </c>
    </row>
    <row r="282" customFormat="false" ht="15" hidden="false" customHeight="false" outlineLevel="0" collapsed="false">
      <c r="A282" s="2" t="s">
        <v>329</v>
      </c>
      <c r="B282" s="3" t="n">
        <v>46138</v>
      </c>
      <c r="C282" s="2" t="s">
        <v>30</v>
      </c>
      <c r="D282" s="2" t="s">
        <v>46</v>
      </c>
      <c r="E282" s="2" t="s">
        <v>50</v>
      </c>
      <c r="F282" s="2" t="s">
        <v>38</v>
      </c>
      <c r="G282" s="2" t="s">
        <v>17</v>
      </c>
      <c r="H282" s="2" t="s">
        <v>28</v>
      </c>
      <c r="I282" s="2" t="n">
        <v>3</v>
      </c>
      <c r="J282" s="4" t="n">
        <v>2515</v>
      </c>
      <c r="K282" s="4" t="n">
        <f aca="false">I282*J282</f>
        <v>7545</v>
      </c>
      <c r="L282" s="2" t="str">
        <f aca="false">TEXT(B282,"MMM-YYYY")</f>
        <v>Apr-2026</v>
      </c>
    </row>
    <row r="283" customFormat="false" ht="15" hidden="false" customHeight="false" outlineLevel="0" collapsed="false">
      <c r="A283" s="2" t="s">
        <v>330</v>
      </c>
      <c r="B283" s="3" t="n">
        <v>46138</v>
      </c>
      <c r="C283" s="2" t="s">
        <v>30</v>
      </c>
      <c r="D283" s="2" t="s">
        <v>35</v>
      </c>
      <c r="E283" s="2" t="s">
        <v>77</v>
      </c>
      <c r="F283" s="2" t="s">
        <v>40</v>
      </c>
      <c r="G283" s="2" t="s">
        <v>32</v>
      </c>
      <c r="H283" s="2" t="s">
        <v>23</v>
      </c>
      <c r="I283" s="2" t="n">
        <v>4</v>
      </c>
      <c r="J283" s="4" t="n">
        <v>3590</v>
      </c>
      <c r="K283" s="4" t="n">
        <f aca="false">I283*J283</f>
        <v>14360</v>
      </c>
      <c r="L283" s="2" t="str">
        <f aca="false">TEXT(B283,"MMM-YYYY")</f>
        <v>Apr-2026</v>
      </c>
    </row>
    <row r="284" customFormat="false" ht="15" hidden="false" customHeight="false" outlineLevel="0" collapsed="false">
      <c r="A284" s="2" t="s">
        <v>331</v>
      </c>
      <c r="B284" s="3" t="n">
        <v>46139</v>
      </c>
      <c r="C284" s="2" t="s">
        <v>61</v>
      </c>
      <c r="D284" s="2" t="s">
        <v>20</v>
      </c>
      <c r="E284" s="2" t="s">
        <v>70</v>
      </c>
      <c r="F284" s="2" t="s">
        <v>38</v>
      </c>
      <c r="G284" s="2" t="s">
        <v>17</v>
      </c>
      <c r="H284" s="2" t="s">
        <v>23</v>
      </c>
      <c r="I284" s="2" t="n">
        <v>2</v>
      </c>
      <c r="J284" s="4" t="n">
        <v>5060</v>
      </c>
      <c r="K284" s="4" t="n">
        <f aca="false">I284*J284</f>
        <v>10120</v>
      </c>
      <c r="L284" s="2" t="str">
        <f aca="false">TEXT(B284,"MMM-YYYY")</f>
        <v>Apr-2026</v>
      </c>
    </row>
    <row r="285" customFormat="false" ht="15" hidden="false" customHeight="false" outlineLevel="0" collapsed="false">
      <c r="A285" s="2" t="s">
        <v>332</v>
      </c>
      <c r="B285" s="3" t="n">
        <v>46139</v>
      </c>
      <c r="C285" s="2" t="s">
        <v>13</v>
      </c>
      <c r="D285" s="2" t="s">
        <v>46</v>
      </c>
      <c r="E285" s="2" t="s">
        <v>56</v>
      </c>
      <c r="F285" s="2" t="s">
        <v>40</v>
      </c>
      <c r="G285" s="2" t="s">
        <v>41</v>
      </c>
      <c r="H285" s="2" t="s">
        <v>18</v>
      </c>
      <c r="I285" s="2" t="n">
        <v>9</v>
      </c>
      <c r="J285" s="4" t="n">
        <v>2149</v>
      </c>
      <c r="K285" s="4" t="n">
        <f aca="false">I285*J285</f>
        <v>19341</v>
      </c>
      <c r="L285" s="2" t="str">
        <f aca="false">TEXT(B285,"MMM-YYYY")</f>
        <v>Apr-2026</v>
      </c>
    </row>
    <row r="286" customFormat="false" ht="15" hidden="false" customHeight="false" outlineLevel="0" collapsed="false">
      <c r="A286" s="2" t="s">
        <v>333</v>
      </c>
      <c r="B286" s="3" t="n">
        <v>46140</v>
      </c>
      <c r="C286" s="2" t="s">
        <v>61</v>
      </c>
      <c r="D286" s="2" t="s">
        <v>46</v>
      </c>
      <c r="E286" s="2" t="s">
        <v>47</v>
      </c>
      <c r="F286" s="2" t="s">
        <v>16</v>
      </c>
      <c r="G286" s="2" t="s">
        <v>41</v>
      </c>
      <c r="H286" s="2" t="s">
        <v>33</v>
      </c>
      <c r="I286" s="2" t="n">
        <v>3</v>
      </c>
      <c r="J286" s="4" t="n">
        <v>2073</v>
      </c>
      <c r="K286" s="4" t="n">
        <f aca="false">I286*J286</f>
        <v>6219</v>
      </c>
      <c r="L286" s="2" t="str">
        <f aca="false">TEXT(B286,"MMM-YYYY")</f>
        <v>Apr-2026</v>
      </c>
    </row>
    <row r="287" customFormat="false" ht="15" hidden="false" customHeight="false" outlineLevel="0" collapsed="false">
      <c r="A287" s="2" t="s">
        <v>334</v>
      </c>
      <c r="B287" s="3" t="n">
        <v>46140</v>
      </c>
      <c r="C287" s="2" t="s">
        <v>25</v>
      </c>
      <c r="D287" s="2" t="s">
        <v>20</v>
      </c>
      <c r="E287" s="2" t="s">
        <v>43</v>
      </c>
      <c r="F287" s="2" t="s">
        <v>22</v>
      </c>
      <c r="G287" s="2" t="s">
        <v>17</v>
      </c>
      <c r="H287" s="2" t="s">
        <v>23</v>
      </c>
      <c r="I287" s="2" t="n">
        <v>7</v>
      </c>
      <c r="J287" s="4" t="n">
        <v>4199</v>
      </c>
      <c r="K287" s="4" t="n">
        <f aca="false">I287*J287</f>
        <v>29393</v>
      </c>
      <c r="L287" s="2" t="str">
        <f aca="false">TEXT(B287,"MMM-YYYY")</f>
        <v>Apr-2026</v>
      </c>
    </row>
    <row r="288" customFormat="false" ht="15" hidden="false" customHeight="false" outlineLevel="0" collapsed="false">
      <c r="A288" s="2" t="s">
        <v>335</v>
      </c>
      <c r="B288" s="3" t="n">
        <v>46141</v>
      </c>
      <c r="C288" s="2" t="s">
        <v>61</v>
      </c>
      <c r="D288" s="2" t="s">
        <v>46</v>
      </c>
      <c r="E288" s="2" t="s">
        <v>56</v>
      </c>
      <c r="F288" s="2" t="s">
        <v>22</v>
      </c>
      <c r="G288" s="2" t="s">
        <v>17</v>
      </c>
      <c r="H288" s="2" t="s">
        <v>23</v>
      </c>
      <c r="I288" s="2" t="n">
        <v>3</v>
      </c>
      <c r="J288" s="4" t="n">
        <v>1873</v>
      </c>
      <c r="K288" s="4" t="n">
        <f aca="false">I288*J288</f>
        <v>5619</v>
      </c>
      <c r="L288" s="2" t="str">
        <f aca="false">TEXT(B288,"MMM-YYYY")</f>
        <v>Apr-2026</v>
      </c>
    </row>
    <row r="289" customFormat="false" ht="15" hidden="false" customHeight="false" outlineLevel="0" collapsed="false">
      <c r="A289" s="2" t="s">
        <v>336</v>
      </c>
      <c r="B289" s="3" t="n">
        <v>46143</v>
      </c>
      <c r="C289" s="2" t="s">
        <v>61</v>
      </c>
      <c r="D289" s="2" t="s">
        <v>46</v>
      </c>
      <c r="E289" s="2" t="s">
        <v>47</v>
      </c>
      <c r="F289" s="2" t="s">
        <v>22</v>
      </c>
      <c r="G289" s="2" t="s">
        <v>17</v>
      </c>
      <c r="H289" s="2" t="s">
        <v>23</v>
      </c>
      <c r="I289" s="2" t="n">
        <v>2</v>
      </c>
      <c r="J289" s="4" t="n">
        <v>1797</v>
      </c>
      <c r="K289" s="4" t="n">
        <f aca="false">I289*J289</f>
        <v>3594</v>
      </c>
      <c r="L289" s="2" t="str">
        <f aca="false">TEXT(B289,"MMM-YYYY")</f>
        <v>May-2026</v>
      </c>
    </row>
    <row r="290" customFormat="false" ht="15" hidden="false" customHeight="false" outlineLevel="0" collapsed="false">
      <c r="A290" s="2" t="s">
        <v>337</v>
      </c>
      <c r="B290" s="3" t="n">
        <v>46144</v>
      </c>
      <c r="C290" s="2" t="s">
        <v>61</v>
      </c>
      <c r="D290" s="2" t="s">
        <v>14</v>
      </c>
      <c r="E290" s="2" t="s">
        <v>95</v>
      </c>
      <c r="F290" s="2" t="s">
        <v>38</v>
      </c>
      <c r="G290" s="2" t="s">
        <v>32</v>
      </c>
      <c r="H290" s="2" t="s">
        <v>28</v>
      </c>
      <c r="I290" s="2" t="n">
        <v>9</v>
      </c>
      <c r="J290" s="4" t="n">
        <v>864</v>
      </c>
      <c r="K290" s="4" t="n">
        <f aca="false">I290*J290</f>
        <v>7776</v>
      </c>
      <c r="L290" s="2" t="str">
        <f aca="false">TEXT(B290,"MMM-YYYY")</f>
        <v>May-2026</v>
      </c>
    </row>
    <row r="291" customFormat="false" ht="15" hidden="false" customHeight="false" outlineLevel="0" collapsed="false">
      <c r="A291" s="2" t="s">
        <v>338</v>
      </c>
      <c r="B291" s="3" t="n">
        <v>46146</v>
      </c>
      <c r="C291" s="2" t="s">
        <v>25</v>
      </c>
      <c r="D291" s="2" t="s">
        <v>14</v>
      </c>
      <c r="E291" s="2" t="s">
        <v>95</v>
      </c>
      <c r="F291" s="2" t="s">
        <v>40</v>
      </c>
      <c r="G291" s="2" t="s">
        <v>41</v>
      </c>
      <c r="H291" s="2" t="s">
        <v>23</v>
      </c>
      <c r="I291" s="2" t="n">
        <v>5</v>
      </c>
      <c r="J291" s="4" t="n">
        <v>993</v>
      </c>
      <c r="K291" s="4" t="n">
        <f aca="false">I291*J291</f>
        <v>4965</v>
      </c>
      <c r="L291" s="2" t="str">
        <f aca="false">TEXT(B291,"MMM-YYYY")</f>
        <v>May-2026</v>
      </c>
    </row>
    <row r="292" customFormat="false" ht="15" hidden="false" customHeight="false" outlineLevel="0" collapsed="false">
      <c r="A292" s="2" t="s">
        <v>339</v>
      </c>
      <c r="B292" s="3" t="n">
        <v>46148</v>
      </c>
      <c r="C292" s="2" t="s">
        <v>13</v>
      </c>
      <c r="D292" s="2" t="s">
        <v>46</v>
      </c>
      <c r="E292" s="2" t="s">
        <v>64</v>
      </c>
      <c r="F292" s="2" t="s">
        <v>38</v>
      </c>
      <c r="G292" s="2" t="s">
        <v>32</v>
      </c>
      <c r="H292" s="2" t="s">
        <v>33</v>
      </c>
      <c r="I292" s="2" t="n">
        <v>9</v>
      </c>
      <c r="J292" s="4" t="n">
        <v>1904</v>
      </c>
      <c r="K292" s="4" t="n">
        <f aca="false">I292*J292</f>
        <v>17136</v>
      </c>
      <c r="L292" s="2" t="str">
        <f aca="false">TEXT(B292,"MMM-YYYY")</f>
        <v>May-2026</v>
      </c>
    </row>
    <row r="293" customFormat="false" ht="15" hidden="false" customHeight="false" outlineLevel="0" collapsed="false">
      <c r="A293" s="2" t="s">
        <v>340</v>
      </c>
      <c r="B293" s="3" t="n">
        <v>46148</v>
      </c>
      <c r="C293" s="2" t="s">
        <v>13</v>
      </c>
      <c r="D293" s="2" t="s">
        <v>35</v>
      </c>
      <c r="E293" s="2" t="s">
        <v>36</v>
      </c>
      <c r="F293" s="2" t="s">
        <v>40</v>
      </c>
      <c r="G293" s="2" t="s">
        <v>17</v>
      </c>
      <c r="H293" s="2" t="s">
        <v>28</v>
      </c>
      <c r="I293" s="2" t="n">
        <v>11</v>
      </c>
      <c r="J293" s="4" t="n">
        <v>2584</v>
      </c>
      <c r="K293" s="4" t="n">
        <f aca="false">I293*J293</f>
        <v>28424</v>
      </c>
      <c r="L293" s="2" t="str">
        <f aca="false">TEXT(B293,"MMM-YYYY")</f>
        <v>May-2026</v>
      </c>
    </row>
    <row r="294" customFormat="false" ht="15" hidden="false" customHeight="false" outlineLevel="0" collapsed="false">
      <c r="A294" s="2" t="s">
        <v>341</v>
      </c>
      <c r="B294" s="3" t="n">
        <v>46149</v>
      </c>
      <c r="C294" s="2" t="s">
        <v>61</v>
      </c>
      <c r="D294" s="2" t="s">
        <v>46</v>
      </c>
      <c r="E294" s="2" t="s">
        <v>47</v>
      </c>
      <c r="F294" s="2" t="s">
        <v>16</v>
      </c>
      <c r="G294" s="2" t="s">
        <v>41</v>
      </c>
      <c r="H294" s="2" t="s">
        <v>33</v>
      </c>
      <c r="I294" s="2" t="n">
        <v>9</v>
      </c>
      <c r="J294" s="4" t="n">
        <v>2053</v>
      </c>
      <c r="K294" s="4" t="n">
        <f aca="false">I294*J294</f>
        <v>18477</v>
      </c>
      <c r="L294" s="2" t="str">
        <f aca="false">TEXT(B294,"MMM-YYYY")</f>
        <v>May-2026</v>
      </c>
    </row>
    <row r="295" customFormat="false" ht="15" hidden="false" customHeight="false" outlineLevel="0" collapsed="false">
      <c r="A295" s="2" t="s">
        <v>342</v>
      </c>
      <c r="B295" s="3" t="n">
        <v>46150</v>
      </c>
      <c r="C295" s="2" t="s">
        <v>13</v>
      </c>
      <c r="D295" s="2" t="s">
        <v>46</v>
      </c>
      <c r="E295" s="2" t="s">
        <v>64</v>
      </c>
      <c r="F295" s="2" t="s">
        <v>57</v>
      </c>
      <c r="G295" s="2" t="s">
        <v>17</v>
      </c>
      <c r="H295" s="2" t="s">
        <v>18</v>
      </c>
      <c r="I295" s="2" t="n">
        <v>6</v>
      </c>
      <c r="J295" s="4" t="n">
        <v>2180</v>
      </c>
      <c r="K295" s="4" t="n">
        <f aca="false">I295*J295</f>
        <v>13080</v>
      </c>
      <c r="L295" s="2" t="str">
        <f aca="false">TEXT(B295,"MMM-YYYY")</f>
        <v>May-2026</v>
      </c>
    </row>
    <row r="296" customFormat="false" ht="15" hidden="false" customHeight="false" outlineLevel="0" collapsed="false">
      <c r="A296" s="2" t="s">
        <v>343</v>
      </c>
      <c r="B296" s="3" t="n">
        <v>46150</v>
      </c>
      <c r="C296" s="2" t="s">
        <v>25</v>
      </c>
      <c r="D296" s="2" t="s">
        <v>14</v>
      </c>
      <c r="E296" s="2" t="s">
        <v>26</v>
      </c>
      <c r="F296" s="2" t="s">
        <v>16</v>
      </c>
      <c r="G296" s="2" t="s">
        <v>41</v>
      </c>
      <c r="H296" s="2" t="s">
        <v>23</v>
      </c>
      <c r="I296" s="2" t="n">
        <v>5</v>
      </c>
      <c r="J296" s="4" t="n">
        <v>1037</v>
      </c>
      <c r="K296" s="4" t="n">
        <f aca="false">I296*J296</f>
        <v>5185</v>
      </c>
      <c r="L296" s="2" t="str">
        <f aca="false">TEXT(B296,"MMM-YYYY")</f>
        <v>May-2026</v>
      </c>
    </row>
    <row r="297" customFormat="false" ht="15" hidden="false" customHeight="false" outlineLevel="0" collapsed="false">
      <c r="A297" s="2" t="s">
        <v>344</v>
      </c>
      <c r="B297" s="3" t="n">
        <v>46150</v>
      </c>
      <c r="C297" s="2" t="s">
        <v>25</v>
      </c>
      <c r="D297" s="2" t="s">
        <v>14</v>
      </c>
      <c r="E297" s="2" t="s">
        <v>95</v>
      </c>
      <c r="F297" s="2" t="s">
        <v>38</v>
      </c>
      <c r="G297" s="2" t="s">
        <v>32</v>
      </c>
      <c r="H297" s="2" t="s">
        <v>18</v>
      </c>
      <c r="I297" s="2" t="n">
        <v>12</v>
      </c>
      <c r="J297" s="4" t="n">
        <v>1098</v>
      </c>
      <c r="K297" s="4" t="n">
        <f aca="false">I297*J297</f>
        <v>13176</v>
      </c>
      <c r="L297" s="2" t="str">
        <f aca="false">TEXT(B297,"MMM-YYYY")</f>
        <v>May-2026</v>
      </c>
    </row>
    <row r="298" customFormat="false" ht="15" hidden="false" customHeight="false" outlineLevel="0" collapsed="false">
      <c r="A298" s="2" t="s">
        <v>345</v>
      </c>
      <c r="B298" s="3" t="n">
        <v>46151</v>
      </c>
      <c r="C298" s="2" t="s">
        <v>61</v>
      </c>
      <c r="D298" s="2" t="s">
        <v>14</v>
      </c>
      <c r="E298" s="2" t="s">
        <v>26</v>
      </c>
      <c r="F298" s="2" t="s">
        <v>16</v>
      </c>
      <c r="G298" s="2" t="s">
        <v>32</v>
      </c>
      <c r="H298" s="2" t="s">
        <v>33</v>
      </c>
      <c r="I298" s="2" t="n">
        <v>7</v>
      </c>
      <c r="J298" s="4" t="n">
        <v>1016</v>
      </c>
      <c r="K298" s="4" t="n">
        <f aca="false">I298*J298</f>
        <v>7112</v>
      </c>
      <c r="L298" s="2" t="str">
        <f aca="false">TEXT(B298,"MMM-YYYY")</f>
        <v>May-2026</v>
      </c>
    </row>
    <row r="299" customFormat="false" ht="15" hidden="false" customHeight="false" outlineLevel="0" collapsed="false">
      <c r="A299" s="2" t="s">
        <v>346</v>
      </c>
      <c r="B299" s="3" t="n">
        <v>46151</v>
      </c>
      <c r="C299" s="2" t="s">
        <v>61</v>
      </c>
      <c r="D299" s="2" t="s">
        <v>35</v>
      </c>
      <c r="E299" s="2" t="s">
        <v>52</v>
      </c>
      <c r="F299" s="2" t="s">
        <v>16</v>
      </c>
      <c r="G299" s="2" t="s">
        <v>32</v>
      </c>
      <c r="H299" s="2" t="s">
        <v>28</v>
      </c>
      <c r="I299" s="2" t="n">
        <v>3</v>
      </c>
      <c r="J299" s="4" t="n">
        <v>2594</v>
      </c>
      <c r="K299" s="4" t="n">
        <f aca="false">I299*J299</f>
        <v>7782</v>
      </c>
      <c r="L299" s="2" t="str">
        <f aca="false">TEXT(B299,"MMM-YYYY")</f>
        <v>May-2026</v>
      </c>
    </row>
    <row r="300" customFormat="false" ht="15" hidden="false" customHeight="false" outlineLevel="0" collapsed="false">
      <c r="A300" s="2" t="s">
        <v>347</v>
      </c>
      <c r="B300" s="3" t="n">
        <v>46151</v>
      </c>
      <c r="C300" s="2" t="s">
        <v>25</v>
      </c>
      <c r="D300" s="2" t="s">
        <v>35</v>
      </c>
      <c r="E300" s="2" t="s">
        <v>36</v>
      </c>
      <c r="F300" s="2" t="s">
        <v>38</v>
      </c>
      <c r="G300" s="2" t="s">
        <v>41</v>
      </c>
      <c r="H300" s="2" t="s">
        <v>33</v>
      </c>
      <c r="I300" s="2" t="n">
        <v>9</v>
      </c>
      <c r="J300" s="4" t="n">
        <v>2719</v>
      </c>
      <c r="K300" s="4" t="n">
        <f aca="false">I300*J300</f>
        <v>24471</v>
      </c>
      <c r="L300" s="2" t="str">
        <f aca="false">TEXT(B300,"MMM-YYYY")</f>
        <v>May-2026</v>
      </c>
    </row>
    <row r="301" customFormat="false" ht="15" hidden="false" customHeight="false" outlineLevel="0" collapsed="false">
      <c r="A301" s="2" t="s">
        <v>348</v>
      </c>
      <c r="B301" s="3" t="n">
        <v>46153</v>
      </c>
      <c r="C301" s="2" t="s">
        <v>13</v>
      </c>
      <c r="D301" s="2" t="s">
        <v>35</v>
      </c>
      <c r="E301" s="2" t="s">
        <v>36</v>
      </c>
      <c r="F301" s="2" t="s">
        <v>40</v>
      </c>
      <c r="G301" s="2" t="s">
        <v>32</v>
      </c>
      <c r="H301" s="2" t="s">
        <v>18</v>
      </c>
      <c r="I301" s="2" t="n">
        <v>7</v>
      </c>
      <c r="J301" s="4" t="n">
        <v>3191</v>
      </c>
      <c r="K301" s="4" t="n">
        <f aca="false">I301*J301</f>
        <v>22337</v>
      </c>
      <c r="L301" s="2" t="str">
        <f aca="false">TEXT(B301,"MMM-YYYY")</f>
        <v>May-2026</v>
      </c>
    </row>
    <row r="302" customFormat="false" ht="15" hidden="false" customHeight="false" outlineLevel="0" collapsed="false">
      <c r="A302" s="2" t="s">
        <v>349</v>
      </c>
      <c r="B302" s="3" t="n">
        <v>46154</v>
      </c>
      <c r="C302" s="2" t="s">
        <v>30</v>
      </c>
      <c r="D302" s="2" t="s">
        <v>35</v>
      </c>
      <c r="E302" s="2" t="s">
        <v>36</v>
      </c>
      <c r="F302" s="2" t="s">
        <v>27</v>
      </c>
      <c r="G302" s="2" t="s">
        <v>17</v>
      </c>
      <c r="H302" s="2" t="s">
        <v>28</v>
      </c>
      <c r="I302" s="2" t="n">
        <v>6</v>
      </c>
      <c r="J302" s="4" t="n">
        <v>2598</v>
      </c>
      <c r="K302" s="4" t="n">
        <f aca="false">I302*J302</f>
        <v>15588</v>
      </c>
      <c r="L302" s="2" t="str">
        <f aca="false">TEXT(B302,"MMM-YYYY")</f>
        <v>May-2026</v>
      </c>
    </row>
    <row r="303" customFormat="false" ht="15" hidden="false" customHeight="false" outlineLevel="0" collapsed="false">
      <c r="A303" s="2" t="s">
        <v>350</v>
      </c>
      <c r="B303" s="3" t="n">
        <v>46155</v>
      </c>
      <c r="C303" s="2" t="s">
        <v>13</v>
      </c>
      <c r="D303" s="2" t="s">
        <v>14</v>
      </c>
      <c r="E303" s="2" t="s">
        <v>31</v>
      </c>
      <c r="F303" s="2" t="s">
        <v>57</v>
      </c>
      <c r="G303" s="2" t="s">
        <v>41</v>
      </c>
      <c r="H303" s="2" t="s">
        <v>23</v>
      </c>
      <c r="I303" s="2" t="n">
        <v>7</v>
      </c>
      <c r="J303" s="4" t="n">
        <v>1060</v>
      </c>
      <c r="K303" s="4" t="n">
        <f aca="false">I303*J303</f>
        <v>7420</v>
      </c>
      <c r="L303" s="2" t="str">
        <f aca="false">TEXT(B303,"MMM-YYYY")</f>
        <v>May-2026</v>
      </c>
    </row>
    <row r="304" customFormat="false" ht="15" hidden="false" customHeight="false" outlineLevel="0" collapsed="false">
      <c r="A304" s="2" t="s">
        <v>351</v>
      </c>
      <c r="B304" s="3" t="n">
        <v>46156</v>
      </c>
      <c r="C304" s="2" t="s">
        <v>30</v>
      </c>
      <c r="D304" s="2" t="s">
        <v>35</v>
      </c>
      <c r="E304" s="2" t="s">
        <v>72</v>
      </c>
      <c r="F304" s="2" t="s">
        <v>27</v>
      </c>
      <c r="G304" s="2" t="s">
        <v>17</v>
      </c>
      <c r="H304" s="2" t="s">
        <v>18</v>
      </c>
      <c r="I304" s="2" t="n">
        <v>3</v>
      </c>
      <c r="J304" s="4" t="n">
        <v>2741</v>
      </c>
      <c r="K304" s="4" t="n">
        <f aca="false">I304*J304</f>
        <v>8223</v>
      </c>
      <c r="L304" s="2" t="str">
        <f aca="false">TEXT(B304,"MMM-YYYY")</f>
        <v>May-2026</v>
      </c>
    </row>
    <row r="305" customFormat="false" ht="15" hidden="false" customHeight="false" outlineLevel="0" collapsed="false">
      <c r="A305" s="2" t="s">
        <v>352</v>
      </c>
      <c r="B305" s="3" t="n">
        <v>46157</v>
      </c>
      <c r="C305" s="2" t="s">
        <v>61</v>
      </c>
      <c r="D305" s="2" t="s">
        <v>46</v>
      </c>
      <c r="E305" s="2" t="s">
        <v>56</v>
      </c>
      <c r="F305" s="2" t="s">
        <v>38</v>
      </c>
      <c r="G305" s="2" t="s">
        <v>32</v>
      </c>
      <c r="H305" s="2" t="s">
        <v>18</v>
      </c>
      <c r="I305" s="2" t="n">
        <v>6</v>
      </c>
      <c r="J305" s="4" t="n">
        <v>2631</v>
      </c>
      <c r="K305" s="4" t="n">
        <f aca="false">I305*J305</f>
        <v>15786</v>
      </c>
      <c r="L305" s="2" t="str">
        <f aca="false">TEXT(B305,"MMM-YYYY")</f>
        <v>May-2026</v>
      </c>
    </row>
    <row r="306" customFormat="false" ht="15" hidden="false" customHeight="false" outlineLevel="0" collapsed="false">
      <c r="A306" s="2" t="s">
        <v>353</v>
      </c>
      <c r="B306" s="3" t="n">
        <v>46158</v>
      </c>
      <c r="C306" s="2" t="s">
        <v>25</v>
      </c>
      <c r="D306" s="2" t="s">
        <v>35</v>
      </c>
      <c r="E306" s="2" t="s">
        <v>77</v>
      </c>
      <c r="F306" s="2" t="s">
        <v>22</v>
      </c>
      <c r="G306" s="2" t="s">
        <v>32</v>
      </c>
      <c r="H306" s="2" t="s">
        <v>33</v>
      </c>
      <c r="I306" s="2" t="n">
        <v>7</v>
      </c>
      <c r="J306" s="4" t="n">
        <v>3600</v>
      </c>
      <c r="K306" s="4" t="n">
        <f aca="false">I306*J306</f>
        <v>25200</v>
      </c>
      <c r="L306" s="2" t="str">
        <f aca="false">TEXT(B306,"MMM-YYYY")</f>
        <v>May-2026</v>
      </c>
    </row>
    <row r="307" customFormat="false" ht="15" hidden="false" customHeight="false" outlineLevel="0" collapsed="false">
      <c r="A307" s="2" t="s">
        <v>354</v>
      </c>
      <c r="B307" s="3" t="n">
        <v>46159</v>
      </c>
      <c r="C307" s="2" t="s">
        <v>25</v>
      </c>
      <c r="D307" s="2" t="s">
        <v>20</v>
      </c>
      <c r="E307" s="2" t="s">
        <v>21</v>
      </c>
      <c r="F307" s="2" t="s">
        <v>38</v>
      </c>
      <c r="G307" s="2" t="s">
        <v>32</v>
      </c>
      <c r="H307" s="2" t="s">
        <v>18</v>
      </c>
      <c r="I307" s="2" t="n">
        <v>2</v>
      </c>
      <c r="J307" s="4" t="n">
        <v>4985</v>
      </c>
      <c r="K307" s="4" t="n">
        <f aca="false">I307*J307</f>
        <v>9970</v>
      </c>
      <c r="L307" s="2" t="str">
        <f aca="false">TEXT(B307,"MMM-YYYY")</f>
        <v>May-2026</v>
      </c>
    </row>
    <row r="308" customFormat="false" ht="15" hidden="false" customHeight="false" outlineLevel="0" collapsed="false">
      <c r="A308" s="2" t="s">
        <v>355</v>
      </c>
      <c r="B308" s="3" t="n">
        <v>46159</v>
      </c>
      <c r="C308" s="2" t="s">
        <v>25</v>
      </c>
      <c r="D308" s="2" t="s">
        <v>20</v>
      </c>
      <c r="E308" s="2" t="s">
        <v>70</v>
      </c>
      <c r="F308" s="2" t="s">
        <v>40</v>
      </c>
      <c r="G308" s="2" t="s">
        <v>32</v>
      </c>
      <c r="H308" s="2" t="s">
        <v>28</v>
      </c>
      <c r="I308" s="2" t="n">
        <v>6</v>
      </c>
      <c r="J308" s="4" t="n">
        <v>4474</v>
      </c>
      <c r="K308" s="4" t="n">
        <f aca="false">I308*J308</f>
        <v>26844</v>
      </c>
      <c r="L308" s="2" t="str">
        <f aca="false">TEXT(B308,"MMM-YYYY")</f>
        <v>May-2026</v>
      </c>
    </row>
    <row r="309" customFormat="false" ht="15" hidden="false" customHeight="false" outlineLevel="0" collapsed="false">
      <c r="A309" s="2" t="s">
        <v>356</v>
      </c>
      <c r="B309" s="3" t="n">
        <v>46160</v>
      </c>
      <c r="C309" s="2" t="s">
        <v>13</v>
      </c>
      <c r="D309" s="2" t="s">
        <v>46</v>
      </c>
      <c r="E309" s="2" t="s">
        <v>64</v>
      </c>
      <c r="F309" s="2" t="s">
        <v>27</v>
      </c>
      <c r="G309" s="2" t="s">
        <v>41</v>
      </c>
      <c r="H309" s="2" t="s">
        <v>18</v>
      </c>
      <c r="I309" s="2" t="n">
        <v>3</v>
      </c>
      <c r="J309" s="4" t="n">
        <v>2421</v>
      </c>
      <c r="K309" s="4" t="n">
        <f aca="false">I309*J309</f>
        <v>7263</v>
      </c>
      <c r="L309" s="2" t="str">
        <f aca="false">TEXT(B309,"MMM-YYYY")</f>
        <v>May-2026</v>
      </c>
    </row>
    <row r="310" customFormat="false" ht="15" hidden="false" customHeight="false" outlineLevel="0" collapsed="false">
      <c r="A310" s="2" t="s">
        <v>357</v>
      </c>
      <c r="B310" s="3" t="n">
        <v>46160</v>
      </c>
      <c r="C310" s="2" t="s">
        <v>30</v>
      </c>
      <c r="D310" s="2" t="s">
        <v>46</v>
      </c>
      <c r="E310" s="2" t="s">
        <v>50</v>
      </c>
      <c r="F310" s="2" t="s">
        <v>40</v>
      </c>
      <c r="G310" s="2" t="s">
        <v>17</v>
      </c>
      <c r="H310" s="2" t="s">
        <v>23</v>
      </c>
      <c r="I310" s="2" t="n">
        <v>6</v>
      </c>
      <c r="J310" s="4" t="n">
        <v>1967</v>
      </c>
      <c r="K310" s="4" t="n">
        <f aca="false">I310*J310</f>
        <v>11802</v>
      </c>
      <c r="L310" s="2" t="str">
        <f aca="false">TEXT(B310,"MMM-YYYY")</f>
        <v>May-2026</v>
      </c>
    </row>
    <row r="311" customFormat="false" ht="15" hidden="false" customHeight="false" outlineLevel="0" collapsed="false">
      <c r="A311" s="2" t="s">
        <v>358</v>
      </c>
      <c r="B311" s="3" t="n">
        <v>46161</v>
      </c>
      <c r="C311" s="2" t="s">
        <v>61</v>
      </c>
      <c r="D311" s="2" t="s">
        <v>14</v>
      </c>
      <c r="E311" s="2" t="s">
        <v>95</v>
      </c>
      <c r="F311" s="2" t="s">
        <v>22</v>
      </c>
      <c r="G311" s="2" t="s">
        <v>17</v>
      </c>
      <c r="H311" s="2" t="s">
        <v>23</v>
      </c>
      <c r="I311" s="2" t="n">
        <v>11</v>
      </c>
      <c r="J311" s="4" t="n">
        <v>882</v>
      </c>
      <c r="K311" s="4" t="n">
        <f aca="false">I311*J311</f>
        <v>9702</v>
      </c>
      <c r="L311" s="2" t="str">
        <f aca="false">TEXT(B311,"MMM-YYYY")</f>
        <v>May-2026</v>
      </c>
    </row>
    <row r="312" customFormat="false" ht="15" hidden="false" customHeight="false" outlineLevel="0" collapsed="false">
      <c r="A312" s="2" t="s">
        <v>359</v>
      </c>
      <c r="B312" s="3" t="n">
        <v>46161</v>
      </c>
      <c r="C312" s="2" t="s">
        <v>13</v>
      </c>
      <c r="D312" s="2" t="s">
        <v>35</v>
      </c>
      <c r="E312" s="2" t="s">
        <v>77</v>
      </c>
      <c r="F312" s="2" t="s">
        <v>40</v>
      </c>
      <c r="G312" s="2" t="s">
        <v>32</v>
      </c>
      <c r="H312" s="2" t="s">
        <v>28</v>
      </c>
      <c r="I312" s="2" t="n">
        <v>1</v>
      </c>
      <c r="J312" s="4" t="n">
        <v>2397</v>
      </c>
      <c r="K312" s="4" t="n">
        <f aca="false">I312*J312</f>
        <v>2397</v>
      </c>
      <c r="L312" s="2" t="str">
        <f aca="false">TEXT(B312,"MMM-YYYY")</f>
        <v>May-2026</v>
      </c>
    </row>
    <row r="313" customFormat="false" ht="15" hidden="false" customHeight="false" outlineLevel="0" collapsed="false">
      <c r="A313" s="2" t="s">
        <v>360</v>
      </c>
      <c r="B313" s="3" t="n">
        <v>46162</v>
      </c>
      <c r="C313" s="2" t="s">
        <v>30</v>
      </c>
      <c r="D313" s="2" t="s">
        <v>14</v>
      </c>
      <c r="E313" s="2" t="s">
        <v>95</v>
      </c>
      <c r="F313" s="2" t="s">
        <v>40</v>
      </c>
      <c r="G313" s="2" t="s">
        <v>17</v>
      </c>
      <c r="H313" s="2" t="s">
        <v>18</v>
      </c>
      <c r="I313" s="2" t="n">
        <v>2</v>
      </c>
      <c r="J313" s="4" t="n">
        <v>1120</v>
      </c>
      <c r="K313" s="4" t="n">
        <f aca="false">I313*J313</f>
        <v>2240</v>
      </c>
      <c r="L313" s="2" t="str">
        <f aca="false">TEXT(B313,"MMM-YYYY")</f>
        <v>May-2026</v>
      </c>
    </row>
    <row r="314" customFormat="false" ht="15" hidden="false" customHeight="false" outlineLevel="0" collapsed="false">
      <c r="A314" s="2" t="s">
        <v>361</v>
      </c>
      <c r="B314" s="3" t="n">
        <v>46162</v>
      </c>
      <c r="C314" s="2" t="s">
        <v>30</v>
      </c>
      <c r="D314" s="2" t="s">
        <v>14</v>
      </c>
      <c r="E314" s="2" t="s">
        <v>31</v>
      </c>
      <c r="F314" s="2" t="s">
        <v>27</v>
      </c>
      <c r="G314" s="2" t="s">
        <v>32</v>
      </c>
      <c r="H314" s="2" t="s">
        <v>33</v>
      </c>
      <c r="I314" s="2" t="n">
        <v>8</v>
      </c>
      <c r="J314" s="4" t="n">
        <v>1032</v>
      </c>
      <c r="K314" s="4" t="n">
        <f aca="false">I314*J314</f>
        <v>8256</v>
      </c>
      <c r="L314" s="2" t="str">
        <f aca="false">TEXT(B314,"MMM-YYYY")</f>
        <v>May-2026</v>
      </c>
    </row>
    <row r="315" customFormat="false" ht="15" hidden="false" customHeight="false" outlineLevel="0" collapsed="false">
      <c r="A315" s="2" t="s">
        <v>362</v>
      </c>
      <c r="B315" s="3" t="n">
        <v>46164</v>
      </c>
      <c r="C315" s="2" t="s">
        <v>13</v>
      </c>
      <c r="D315" s="2" t="s">
        <v>14</v>
      </c>
      <c r="E315" s="2" t="s">
        <v>31</v>
      </c>
      <c r="F315" s="2" t="s">
        <v>40</v>
      </c>
      <c r="G315" s="2" t="s">
        <v>17</v>
      </c>
      <c r="H315" s="2" t="s">
        <v>18</v>
      </c>
      <c r="I315" s="2" t="n">
        <v>11</v>
      </c>
      <c r="J315" s="4" t="n">
        <v>859</v>
      </c>
      <c r="K315" s="4" t="n">
        <f aca="false">I315*J315</f>
        <v>9449</v>
      </c>
      <c r="L315" s="2" t="str">
        <f aca="false">TEXT(B315,"MMM-YYYY")</f>
        <v>May-2026</v>
      </c>
    </row>
    <row r="316" customFormat="false" ht="15" hidden="false" customHeight="false" outlineLevel="0" collapsed="false">
      <c r="A316" s="2" t="s">
        <v>363</v>
      </c>
      <c r="B316" s="3" t="n">
        <v>46167</v>
      </c>
      <c r="C316" s="2" t="s">
        <v>13</v>
      </c>
      <c r="D316" s="2" t="s">
        <v>14</v>
      </c>
      <c r="E316" s="2" t="s">
        <v>26</v>
      </c>
      <c r="F316" s="2" t="s">
        <v>22</v>
      </c>
      <c r="G316" s="2" t="s">
        <v>17</v>
      </c>
      <c r="H316" s="2" t="s">
        <v>28</v>
      </c>
      <c r="I316" s="2" t="n">
        <v>3</v>
      </c>
      <c r="J316" s="4" t="n">
        <v>788</v>
      </c>
      <c r="K316" s="4" t="n">
        <f aca="false">I316*J316</f>
        <v>2364</v>
      </c>
      <c r="L316" s="2" t="str">
        <f aca="false">TEXT(B316,"MMM-YYYY")</f>
        <v>May-2026</v>
      </c>
    </row>
    <row r="317" customFormat="false" ht="15" hidden="false" customHeight="false" outlineLevel="0" collapsed="false">
      <c r="A317" s="2" t="s">
        <v>364</v>
      </c>
      <c r="B317" s="3" t="n">
        <v>46167</v>
      </c>
      <c r="C317" s="2" t="s">
        <v>13</v>
      </c>
      <c r="D317" s="2" t="s">
        <v>35</v>
      </c>
      <c r="E317" s="2" t="s">
        <v>77</v>
      </c>
      <c r="F317" s="2" t="s">
        <v>40</v>
      </c>
      <c r="G317" s="2" t="s">
        <v>41</v>
      </c>
      <c r="H317" s="2" t="s">
        <v>18</v>
      </c>
      <c r="I317" s="2" t="n">
        <v>8</v>
      </c>
      <c r="J317" s="4" t="n">
        <v>2687</v>
      </c>
      <c r="K317" s="4" t="n">
        <f aca="false">I317*J317</f>
        <v>21496</v>
      </c>
      <c r="L317" s="2" t="str">
        <f aca="false">TEXT(B317,"MMM-YYYY")</f>
        <v>May-2026</v>
      </c>
    </row>
    <row r="318" customFormat="false" ht="15" hidden="false" customHeight="false" outlineLevel="0" collapsed="false">
      <c r="A318" s="2" t="s">
        <v>365</v>
      </c>
      <c r="B318" s="3" t="n">
        <v>46174</v>
      </c>
      <c r="C318" s="2" t="s">
        <v>25</v>
      </c>
      <c r="D318" s="2" t="s">
        <v>14</v>
      </c>
      <c r="E318" s="2" t="s">
        <v>15</v>
      </c>
      <c r="F318" s="2" t="s">
        <v>16</v>
      </c>
      <c r="G318" s="2" t="s">
        <v>32</v>
      </c>
      <c r="H318" s="2" t="s">
        <v>23</v>
      </c>
      <c r="I318" s="2" t="n">
        <v>8</v>
      </c>
      <c r="J318" s="4" t="n">
        <v>1018</v>
      </c>
      <c r="K318" s="4" t="n">
        <f aca="false">I318*J318</f>
        <v>8144</v>
      </c>
      <c r="L318" s="2" t="str">
        <f aca="false">TEXT(B318,"MMM-YYYY")</f>
        <v>Jun-2026</v>
      </c>
    </row>
    <row r="319" customFormat="false" ht="15" hidden="false" customHeight="false" outlineLevel="0" collapsed="false">
      <c r="A319" s="2" t="s">
        <v>366</v>
      </c>
      <c r="B319" s="3" t="n">
        <v>46175</v>
      </c>
      <c r="C319" s="2" t="s">
        <v>30</v>
      </c>
      <c r="D319" s="2" t="s">
        <v>46</v>
      </c>
      <c r="E319" s="2" t="s">
        <v>50</v>
      </c>
      <c r="F319" s="2" t="s">
        <v>57</v>
      </c>
      <c r="G319" s="2" t="s">
        <v>17</v>
      </c>
      <c r="H319" s="2" t="s">
        <v>28</v>
      </c>
      <c r="I319" s="2" t="n">
        <v>12</v>
      </c>
      <c r="J319" s="4" t="n">
        <v>1885</v>
      </c>
      <c r="K319" s="4" t="n">
        <f aca="false">I319*J319</f>
        <v>22620</v>
      </c>
      <c r="L319" s="2" t="str">
        <f aca="false">TEXT(B319,"MMM-YYYY")</f>
        <v>Jun-2026</v>
      </c>
    </row>
    <row r="320" customFormat="false" ht="15" hidden="false" customHeight="false" outlineLevel="0" collapsed="false">
      <c r="A320" s="2" t="s">
        <v>367</v>
      </c>
      <c r="B320" s="3" t="n">
        <v>46176</v>
      </c>
      <c r="C320" s="2" t="s">
        <v>25</v>
      </c>
      <c r="D320" s="2" t="s">
        <v>35</v>
      </c>
      <c r="E320" s="2" t="s">
        <v>72</v>
      </c>
      <c r="F320" s="2" t="s">
        <v>40</v>
      </c>
      <c r="G320" s="2" t="s">
        <v>17</v>
      </c>
      <c r="H320" s="2" t="s">
        <v>28</v>
      </c>
      <c r="I320" s="2" t="n">
        <v>2</v>
      </c>
      <c r="J320" s="4" t="n">
        <v>3244</v>
      </c>
      <c r="K320" s="4" t="n">
        <f aca="false">I320*J320</f>
        <v>6488</v>
      </c>
      <c r="L320" s="2" t="str">
        <f aca="false">TEXT(B320,"MMM-YYYY")</f>
        <v>Jun-2026</v>
      </c>
    </row>
    <row r="321" customFormat="false" ht="15" hidden="false" customHeight="false" outlineLevel="0" collapsed="false">
      <c r="A321" s="2" t="s">
        <v>368</v>
      </c>
      <c r="B321" s="3" t="n">
        <v>46177</v>
      </c>
      <c r="C321" s="2" t="s">
        <v>30</v>
      </c>
      <c r="D321" s="2" t="s">
        <v>46</v>
      </c>
      <c r="E321" s="2" t="s">
        <v>56</v>
      </c>
      <c r="F321" s="2" t="s">
        <v>27</v>
      </c>
      <c r="G321" s="2" t="s">
        <v>17</v>
      </c>
      <c r="H321" s="2" t="s">
        <v>28</v>
      </c>
      <c r="I321" s="2" t="n">
        <v>10</v>
      </c>
      <c r="J321" s="4" t="n">
        <v>1788</v>
      </c>
      <c r="K321" s="4" t="n">
        <f aca="false">I321*J321</f>
        <v>17880</v>
      </c>
      <c r="L321" s="2" t="str">
        <f aca="false">TEXT(B321,"MMM-YYYY")</f>
        <v>Jun-2026</v>
      </c>
    </row>
    <row r="322" customFormat="false" ht="15" hidden="false" customHeight="false" outlineLevel="0" collapsed="false">
      <c r="A322" s="2" t="s">
        <v>369</v>
      </c>
      <c r="B322" s="3" t="n">
        <v>46178</v>
      </c>
      <c r="C322" s="2" t="s">
        <v>30</v>
      </c>
      <c r="D322" s="2" t="s">
        <v>46</v>
      </c>
      <c r="E322" s="2" t="s">
        <v>50</v>
      </c>
      <c r="F322" s="2" t="s">
        <v>22</v>
      </c>
      <c r="G322" s="2" t="s">
        <v>17</v>
      </c>
      <c r="H322" s="2" t="s">
        <v>23</v>
      </c>
      <c r="I322" s="2" t="n">
        <v>9</v>
      </c>
      <c r="J322" s="4" t="n">
        <v>2299</v>
      </c>
      <c r="K322" s="4" t="n">
        <f aca="false">I322*J322</f>
        <v>20691</v>
      </c>
      <c r="L322" s="2" t="str">
        <f aca="false">TEXT(B322,"MMM-YYYY")</f>
        <v>Jun-2026</v>
      </c>
    </row>
    <row r="323" customFormat="false" ht="15" hidden="false" customHeight="false" outlineLevel="0" collapsed="false">
      <c r="A323" s="2" t="s">
        <v>370</v>
      </c>
      <c r="B323" s="3" t="n">
        <v>46179</v>
      </c>
      <c r="C323" s="2" t="s">
        <v>61</v>
      </c>
      <c r="D323" s="2" t="s">
        <v>35</v>
      </c>
      <c r="E323" s="2" t="s">
        <v>52</v>
      </c>
      <c r="F323" s="2" t="s">
        <v>16</v>
      </c>
      <c r="G323" s="2" t="s">
        <v>17</v>
      </c>
      <c r="H323" s="2" t="s">
        <v>18</v>
      </c>
      <c r="I323" s="2" t="n">
        <v>4</v>
      </c>
      <c r="J323" s="4" t="n">
        <v>2898</v>
      </c>
      <c r="K323" s="4" t="n">
        <f aca="false">I323*J323</f>
        <v>11592</v>
      </c>
      <c r="L323" s="2" t="str">
        <f aca="false">TEXT(B323,"MMM-YYYY")</f>
        <v>Jun-2026</v>
      </c>
    </row>
    <row r="324" customFormat="false" ht="15" hidden="false" customHeight="false" outlineLevel="0" collapsed="false">
      <c r="A324" s="2" t="s">
        <v>371</v>
      </c>
      <c r="B324" s="3" t="n">
        <v>46180</v>
      </c>
      <c r="C324" s="2" t="s">
        <v>61</v>
      </c>
      <c r="D324" s="2" t="s">
        <v>35</v>
      </c>
      <c r="E324" s="2" t="s">
        <v>36</v>
      </c>
      <c r="F324" s="2" t="s">
        <v>27</v>
      </c>
      <c r="G324" s="2" t="s">
        <v>17</v>
      </c>
      <c r="H324" s="2" t="s">
        <v>33</v>
      </c>
      <c r="I324" s="2" t="n">
        <v>6</v>
      </c>
      <c r="J324" s="4" t="n">
        <v>3270</v>
      </c>
      <c r="K324" s="4" t="n">
        <f aca="false">I324*J324</f>
        <v>19620</v>
      </c>
      <c r="L324" s="2" t="str">
        <f aca="false">TEXT(B324,"MMM-YYYY")</f>
        <v>Jun-2026</v>
      </c>
    </row>
    <row r="325" customFormat="false" ht="15" hidden="false" customHeight="false" outlineLevel="0" collapsed="false">
      <c r="A325" s="2" t="s">
        <v>372</v>
      </c>
      <c r="B325" s="3" t="n">
        <v>46181</v>
      </c>
      <c r="C325" s="2" t="s">
        <v>61</v>
      </c>
      <c r="D325" s="2" t="s">
        <v>35</v>
      </c>
      <c r="E325" s="2" t="s">
        <v>77</v>
      </c>
      <c r="F325" s="2" t="s">
        <v>27</v>
      </c>
      <c r="G325" s="2" t="s">
        <v>17</v>
      </c>
      <c r="H325" s="2" t="s">
        <v>23</v>
      </c>
      <c r="I325" s="2" t="n">
        <v>12</v>
      </c>
      <c r="J325" s="4" t="n">
        <v>3052</v>
      </c>
      <c r="K325" s="4" t="n">
        <f aca="false">I325*J325</f>
        <v>36624</v>
      </c>
      <c r="L325" s="2" t="str">
        <f aca="false">TEXT(B325,"MMM-YYYY")</f>
        <v>Jun-2026</v>
      </c>
    </row>
    <row r="326" customFormat="false" ht="15" hidden="false" customHeight="false" outlineLevel="0" collapsed="false">
      <c r="A326" s="2" t="s">
        <v>373</v>
      </c>
      <c r="B326" s="3" t="n">
        <v>46182</v>
      </c>
      <c r="C326" s="2" t="s">
        <v>61</v>
      </c>
      <c r="D326" s="2" t="s">
        <v>14</v>
      </c>
      <c r="E326" s="2" t="s">
        <v>26</v>
      </c>
      <c r="F326" s="2" t="s">
        <v>57</v>
      </c>
      <c r="G326" s="2" t="s">
        <v>17</v>
      </c>
      <c r="H326" s="2" t="s">
        <v>18</v>
      </c>
      <c r="I326" s="2" t="n">
        <v>9</v>
      </c>
      <c r="J326" s="4" t="n">
        <v>1040</v>
      </c>
      <c r="K326" s="4" t="n">
        <f aca="false">I326*J326</f>
        <v>9360</v>
      </c>
      <c r="L326" s="2" t="str">
        <f aca="false">TEXT(B326,"MMM-YYYY")</f>
        <v>Jun-2026</v>
      </c>
    </row>
    <row r="327" customFormat="false" ht="15" hidden="false" customHeight="false" outlineLevel="0" collapsed="false">
      <c r="A327" s="2" t="s">
        <v>374</v>
      </c>
      <c r="B327" s="3" t="n">
        <v>46182</v>
      </c>
      <c r="C327" s="2" t="s">
        <v>13</v>
      </c>
      <c r="D327" s="2" t="s">
        <v>35</v>
      </c>
      <c r="E327" s="2" t="s">
        <v>72</v>
      </c>
      <c r="F327" s="2" t="s">
        <v>16</v>
      </c>
      <c r="G327" s="2" t="s">
        <v>41</v>
      </c>
      <c r="H327" s="2" t="s">
        <v>18</v>
      </c>
      <c r="I327" s="2" t="n">
        <v>4</v>
      </c>
      <c r="J327" s="4" t="n">
        <v>2478</v>
      </c>
      <c r="K327" s="4" t="n">
        <f aca="false">I327*J327</f>
        <v>9912</v>
      </c>
      <c r="L327" s="2" t="str">
        <f aca="false">TEXT(B327,"MMM-YYYY")</f>
        <v>Jun-2026</v>
      </c>
    </row>
    <row r="328" customFormat="false" ht="15" hidden="false" customHeight="false" outlineLevel="0" collapsed="false">
      <c r="A328" s="2" t="s">
        <v>375</v>
      </c>
      <c r="B328" s="3" t="n">
        <v>46182</v>
      </c>
      <c r="C328" s="2" t="s">
        <v>25</v>
      </c>
      <c r="D328" s="2" t="s">
        <v>46</v>
      </c>
      <c r="E328" s="2" t="s">
        <v>50</v>
      </c>
      <c r="F328" s="2" t="s">
        <v>38</v>
      </c>
      <c r="G328" s="2" t="s">
        <v>41</v>
      </c>
      <c r="H328" s="2" t="s">
        <v>18</v>
      </c>
      <c r="I328" s="2" t="n">
        <v>11</v>
      </c>
      <c r="J328" s="4" t="n">
        <v>2434</v>
      </c>
      <c r="K328" s="4" t="n">
        <f aca="false">I328*J328</f>
        <v>26774</v>
      </c>
      <c r="L328" s="2" t="str">
        <f aca="false">TEXT(B328,"MMM-YYYY")</f>
        <v>Jun-2026</v>
      </c>
    </row>
    <row r="329" customFormat="false" ht="15" hidden="false" customHeight="false" outlineLevel="0" collapsed="false">
      <c r="A329" s="2" t="s">
        <v>376</v>
      </c>
      <c r="B329" s="3" t="n">
        <v>46183</v>
      </c>
      <c r="C329" s="2" t="s">
        <v>61</v>
      </c>
      <c r="D329" s="2" t="s">
        <v>14</v>
      </c>
      <c r="E329" s="2" t="s">
        <v>95</v>
      </c>
      <c r="F329" s="2" t="s">
        <v>40</v>
      </c>
      <c r="G329" s="2" t="s">
        <v>17</v>
      </c>
      <c r="H329" s="2" t="s">
        <v>33</v>
      </c>
      <c r="I329" s="2" t="n">
        <v>9</v>
      </c>
      <c r="J329" s="4" t="n">
        <v>1144</v>
      </c>
      <c r="K329" s="4" t="n">
        <f aca="false">I329*J329</f>
        <v>10296</v>
      </c>
      <c r="L329" s="2" t="str">
        <f aca="false">TEXT(B329,"MMM-YYYY")</f>
        <v>Jun-2026</v>
      </c>
    </row>
    <row r="330" customFormat="false" ht="15" hidden="false" customHeight="false" outlineLevel="0" collapsed="false">
      <c r="A330" s="2" t="s">
        <v>377</v>
      </c>
      <c r="B330" s="3" t="n">
        <v>46183</v>
      </c>
      <c r="C330" s="2" t="s">
        <v>25</v>
      </c>
      <c r="D330" s="2" t="s">
        <v>46</v>
      </c>
      <c r="E330" s="2" t="s">
        <v>50</v>
      </c>
      <c r="F330" s="2" t="s">
        <v>27</v>
      </c>
      <c r="G330" s="2" t="s">
        <v>17</v>
      </c>
      <c r="H330" s="2" t="s">
        <v>18</v>
      </c>
      <c r="I330" s="2" t="n">
        <v>9</v>
      </c>
      <c r="J330" s="4" t="n">
        <v>2153</v>
      </c>
      <c r="K330" s="4" t="n">
        <f aca="false">I330*J330</f>
        <v>19377</v>
      </c>
      <c r="L330" s="2" t="str">
        <f aca="false">TEXT(B330,"MMM-YYYY")</f>
        <v>Jun-2026</v>
      </c>
    </row>
    <row r="331" customFormat="false" ht="15" hidden="false" customHeight="false" outlineLevel="0" collapsed="false">
      <c r="A331" s="2" t="s">
        <v>378</v>
      </c>
      <c r="B331" s="3" t="n">
        <v>46183</v>
      </c>
      <c r="C331" s="2" t="s">
        <v>13</v>
      </c>
      <c r="D331" s="2" t="s">
        <v>46</v>
      </c>
      <c r="E331" s="2" t="s">
        <v>50</v>
      </c>
      <c r="F331" s="2" t="s">
        <v>57</v>
      </c>
      <c r="G331" s="2" t="s">
        <v>17</v>
      </c>
      <c r="H331" s="2" t="s">
        <v>33</v>
      </c>
      <c r="I331" s="2" t="n">
        <v>11</v>
      </c>
      <c r="J331" s="4" t="n">
        <v>2599</v>
      </c>
      <c r="K331" s="4" t="n">
        <f aca="false">I331*J331</f>
        <v>28589</v>
      </c>
      <c r="L331" s="2" t="str">
        <f aca="false">TEXT(B331,"MMM-YYYY")</f>
        <v>Jun-2026</v>
      </c>
    </row>
    <row r="332" customFormat="false" ht="15" hidden="false" customHeight="false" outlineLevel="0" collapsed="false">
      <c r="A332" s="2" t="s">
        <v>379</v>
      </c>
      <c r="B332" s="3" t="n">
        <v>46184</v>
      </c>
      <c r="C332" s="2" t="s">
        <v>25</v>
      </c>
      <c r="D332" s="2" t="s">
        <v>14</v>
      </c>
      <c r="E332" s="2" t="s">
        <v>95</v>
      </c>
      <c r="F332" s="2" t="s">
        <v>57</v>
      </c>
      <c r="G332" s="2" t="s">
        <v>41</v>
      </c>
      <c r="H332" s="2" t="s">
        <v>33</v>
      </c>
      <c r="I332" s="2" t="n">
        <v>5</v>
      </c>
      <c r="J332" s="4" t="n">
        <v>1150</v>
      </c>
      <c r="K332" s="4" t="n">
        <f aca="false">I332*J332</f>
        <v>5750</v>
      </c>
      <c r="L332" s="2" t="str">
        <f aca="false">TEXT(B332,"MMM-YYYY")</f>
        <v>Jun-2026</v>
      </c>
    </row>
    <row r="333" customFormat="false" ht="15" hidden="false" customHeight="false" outlineLevel="0" collapsed="false">
      <c r="A333" s="2" t="s">
        <v>380</v>
      </c>
      <c r="B333" s="3" t="n">
        <v>46184</v>
      </c>
      <c r="C333" s="2" t="s">
        <v>30</v>
      </c>
      <c r="D333" s="2" t="s">
        <v>14</v>
      </c>
      <c r="E333" s="2" t="s">
        <v>95</v>
      </c>
      <c r="F333" s="2" t="s">
        <v>16</v>
      </c>
      <c r="G333" s="2" t="s">
        <v>32</v>
      </c>
      <c r="H333" s="2" t="s">
        <v>33</v>
      </c>
      <c r="I333" s="2" t="n">
        <v>4</v>
      </c>
      <c r="J333" s="4" t="n">
        <v>986</v>
      </c>
      <c r="K333" s="4" t="n">
        <f aca="false">I333*J333</f>
        <v>3944</v>
      </c>
      <c r="L333" s="2" t="str">
        <f aca="false">TEXT(B333,"MMM-YYYY")</f>
        <v>Jun-2026</v>
      </c>
    </row>
    <row r="334" customFormat="false" ht="15" hidden="false" customHeight="false" outlineLevel="0" collapsed="false">
      <c r="A334" s="2" t="s">
        <v>381</v>
      </c>
      <c r="B334" s="3" t="n">
        <v>46185</v>
      </c>
      <c r="C334" s="2" t="s">
        <v>13</v>
      </c>
      <c r="D334" s="2" t="s">
        <v>46</v>
      </c>
      <c r="E334" s="2" t="s">
        <v>50</v>
      </c>
      <c r="F334" s="2" t="s">
        <v>57</v>
      </c>
      <c r="G334" s="2" t="s">
        <v>17</v>
      </c>
      <c r="H334" s="2" t="s">
        <v>23</v>
      </c>
      <c r="I334" s="2" t="n">
        <v>11</v>
      </c>
      <c r="J334" s="4" t="n">
        <v>2790</v>
      </c>
      <c r="K334" s="4" t="n">
        <f aca="false">I334*J334</f>
        <v>30690</v>
      </c>
      <c r="L334" s="2" t="str">
        <f aca="false">TEXT(B334,"MMM-YYYY")</f>
        <v>Jun-2026</v>
      </c>
    </row>
    <row r="335" customFormat="false" ht="15" hidden="false" customHeight="false" outlineLevel="0" collapsed="false">
      <c r="A335" s="2" t="s">
        <v>382</v>
      </c>
      <c r="B335" s="3" t="n">
        <v>46185</v>
      </c>
      <c r="C335" s="2" t="s">
        <v>25</v>
      </c>
      <c r="D335" s="2" t="s">
        <v>46</v>
      </c>
      <c r="E335" s="2" t="s">
        <v>64</v>
      </c>
      <c r="F335" s="2" t="s">
        <v>16</v>
      </c>
      <c r="G335" s="2" t="s">
        <v>32</v>
      </c>
      <c r="H335" s="2" t="s">
        <v>28</v>
      </c>
      <c r="I335" s="2" t="n">
        <v>12</v>
      </c>
      <c r="J335" s="4" t="n">
        <v>1762</v>
      </c>
      <c r="K335" s="4" t="n">
        <f aca="false">I335*J335</f>
        <v>21144</v>
      </c>
      <c r="L335" s="2" t="str">
        <f aca="false">TEXT(B335,"MMM-YYYY")</f>
        <v>Jun-2026</v>
      </c>
    </row>
    <row r="336" customFormat="false" ht="15" hidden="false" customHeight="false" outlineLevel="0" collapsed="false">
      <c r="A336" s="2" t="s">
        <v>383</v>
      </c>
      <c r="B336" s="3" t="n">
        <v>46185</v>
      </c>
      <c r="C336" s="2" t="s">
        <v>25</v>
      </c>
      <c r="D336" s="2" t="s">
        <v>46</v>
      </c>
      <c r="E336" s="2" t="s">
        <v>50</v>
      </c>
      <c r="F336" s="2" t="s">
        <v>40</v>
      </c>
      <c r="G336" s="2" t="s">
        <v>41</v>
      </c>
      <c r="H336" s="2" t="s">
        <v>33</v>
      </c>
      <c r="I336" s="2" t="n">
        <v>5</v>
      </c>
      <c r="J336" s="4" t="n">
        <v>2623</v>
      </c>
      <c r="K336" s="4" t="n">
        <f aca="false">I336*J336</f>
        <v>13115</v>
      </c>
      <c r="L336" s="2" t="str">
        <f aca="false">TEXT(B336,"MMM-YYYY")</f>
        <v>Jun-2026</v>
      </c>
    </row>
    <row r="337" customFormat="false" ht="15" hidden="false" customHeight="false" outlineLevel="0" collapsed="false">
      <c r="A337" s="2" t="s">
        <v>384</v>
      </c>
      <c r="B337" s="3" t="n">
        <v>46186</v>
      </c>
      <c r="C337" s="2" t="s">
        <v>25</v>
      </c>
      <c r="D337" s="2" t="s">
        <v>14</v>
      </c>
      <c r="E337" s="2" t="s">
        <v>26</v>
      </c>
      <c r="F337" s="2" t="s">
        <v>40</v>
      </c>
      <c r="G337" s="2" t="s">
        <v>41</v>
      </c>
      <c r="H337" s="2" t="s">
        <v>33</v>
      </c>
      <c r="I337" s="2" t="n">
        <v>7</v>
      </c>
      <c r="J337" s="4" t="n">
        <v>900</v>
      </c>
      <c r="K337" s="4" t="n">
        <f aca="false">I337*J337</f>
        <v>6300</v>
      </c>
      <c r="L337" s="2" t="str">
        <f aca="false">TEXT(B337,"MMM-YYYY")</f>
        <v>Jun-2026</v>
      </c>
    </row>
    <row r="338" customFormat="false" ht="15" hidden="false" customHeight="false" outlineLevel="0" collapsed="false">
      <c r="A338" s="2" t="s">
        <v>385</v>
      </c>
      <c r="B338" s="3" t="n">
        <v>46186</v>
      </c>
      <c r="C338" s="2" t="s">
        <v>25</v>
      </c>
      <c r="D338" s="2" t="s">
        <v>35</v>
      </c>
      <c r="E338" s="2" t="s">
        <v>52</v>
      </c>
      <c r="F338" s="2" t="s">
        <v>40</v>
      </c>
      <c r="G338" s="2" t="s">
        <v>32</v>
      </c>
      <c r="H338" s="2" t="s">
        <v>33</v>
      </c>
      <c r="I338" s="2" t="n">
        <v>2</v>
      </c>
      <c r="J338" s="4" t="n">
        <v>3477</v>
      </c>
      <c r="K338" s="4" t="n">
        <f aca="false">I338*J338</f>
        <v>6954</v>
      </c>
      <c r="L338" s="2" t="str">
        <f aca="false">TEXT(B338,"MMM-YYYY")</f>
        <v>Jun-2026</v>
      </c>
    </row>
    <row r="339" customFormat="false" ht="15" hidden="false" customHeight="false" outlineLevel="0" collapsed="false">
      <c r="A339" s="2" t="s">
        <v>386</v>
      </c>
      <c r="B339" s="3" t="n">
        <v>46186</v>
      </c>
      <c r="C339" s="2" t="s">
        <v>25</v>
      </c>
      <c r="D339" s="2" t="s">
        <v>46</v>
      </c>
      <c r="E339" s="2" t="s">
        <v>47</v>
      </c>
      <c r="F339" s="2" t="s">
        <v>40</v>
      </c>
      <c r="G339" s="2" t="s">
        <v>41</v>
      </c>
      <c r="H339" s="2" t="s">
        <v>23</v>
      </c>
      <c r="I339" s="2" t="n">
        <v>9</v>
      </c>
      <c r="J339" s="4" t="n">
        <v>2588</v>
      </c>
      <c r="K339" s="4" t="n">
        <f aca="false">I339*J339</f>
        <v>23292</v>
      </c>
      <c r="L339" s="2" t="str">
        <f aca="false">TEXT(B339,"MMM-YYYY")</f>
        <v>Jun-2026</v>
      </c>
    </row>
    <row r="340" customFormat="false" ht="15" hidden="false" customHeight="false" outlineLevel="0" collapsed="false">
      <c r="A340" s="2" t="s">
        <v>387</v>
      </c>
      <c r="B340" s="3" t="n">
        <v>46186</v>
      </c>
      <c r="C340" s="2" t="s">
        <v>25</v>
      </c>
      <c r="D340" s="2" t="s">
        <v>35</v>
      </c>
      <c r="E340" s="2" t="s">
        <v>72</v>
      </c>
      <c r="F340" s="2" t="s">
        <v>38</v>
      </c>
      <c r="G340" s="2" t="s">
        <v>17</v>
      </c>
      <c r="H340" s="2" t="s">
        <v>18</v>
      </c>
      <c r="I340" s="2" t="n">
        <v>3</v>
      </c>
      <c r="J340" s="4" t="n">
        <v>2742</v>
      </c>
      <c r="K340" s="4" t="n">
        <f aca="false">I340*J340</f>
        <v>8226</v>
      </c>
      <c r="L340" s="2" t="str">
        <f aca="false">TEXT(B340,"MMM-YYYY")</f>
        <v>Jun-2026</v>
      </c>
    </row>
    <row r="341" customFormat="false" ht="15" hidden="false" customHeight="false" outlineLevel="0" collapsed="false">
      <c r="A341" s="2" t="s">
        <v>388</v>
      </c>
      <c r="B341" s="3" t="n">
        <v>46186</v>
      </c>
      <c r="C341" s="2" t="s">
        <v>30</v>
      </c>
      <c r="D341" s="2" t="s">
        <v>46</v>
      </c>
      <c r="E341" s="2" t="s">
        <v>64</v>
      </c>
      <c r="F341" s="2" t="s">
        <v>22</v>
      </c>
      <c r="G341" s="2" t="s">
        <v>17</v>
      </c>
      <c r="H341" s="2" t="s">
        <v>23</v>
      </c>
      <c r="I341" s="2" t="n">
        <v>8</v>
      </c>
      <c r="J341" s="4" t="n">
        <v>2090</v>
      </c>
      <c r="K341" s="4" t="n">
        <f aca="false">I341*J341</f>
        <v>16720</v>
      </c>
      <c r="L341" s="2" t="str">
        <f aca="false">TEXT(B341,"MMM-YYYY")</f>
        <v>Jun-2026</v>
      </c>
    </row>
    <row r="342" customFormat="false" ht="15" hidden="false" customHeight="false" outlineLevel="0" collapsed="false">
      <c r="A342" s="2" t="s">
        <v>389</v>
      </c>
      <c r="B342" s="3" t="n">
        <v>46187</v>
      </c>
      <c r="C342" s="2" t="s">
        <v>13</v>
      </c>
      <c r="D342" s="2" t="s">
        <v>46</v>
      </c>
      <c r="E342" s="2" t="s">
        <v>47</v>
      </c>
      <c r="F342" s="2" t="s">
        <v>27</v>
      </c>
      <c r="G342" s="2" t="s">
        <v>17</v>
      </c>
      <c r="H342" s="2" t="s">
        <v>33</v>
      </c>
      <c r="I342" s="2" t="n">
        <v>2</v>
      </c>
      <c r="J342" s="4" t="n">
        <v>2635</v>
      </c>
      <c r="K342" s="4" t="n">
        <f aca="false">I342*J342</f>
        <v>5270</v>
      </c>
      <c r="L342" s="2" t="str">
        <f aca="false">TEXT(B342,"MMM-YYYY")</f>
        <v>Jun-2026</v>
      </c>
    </row>
    <row r="343" customFormat="false" ht="15" hidden="false" customHeight="false" outlineLevel="0" collapsed="false">
      <c r="A343" s="2" t="s">
        <v>390</v>
      </c>
      <c r="B343" s="3" t="n">
        <v>46187</v>
      </c>
      <c r="C343" s="2" t="s">
        <v>25</v>
      </c>
      <c r="D343" s="2" t="s">
        <v>20</v>
      </c>
      <c r="E343" s="2" t="s">
        <v>43</v>
      </c>
      <c r="F343" s="2" t="s">
        <v>27</v>
      </c>
      <c r="G343" s="2" t="s">
        <v>17</v>
      </c>
      <c r="H343" s="2" t="s">
        <v>23</v>
      </c>
      <c r="I343" s="2" t="n">
        <v>8</v>
      </c>
      <c r="J343" s="4" t="n">
        <v>3744</v>
      </c>
      <c r="K343" s="4" t="n">
        <f aca="false">I343*J343</f>
        <v>29952</v>
      </c>
      <c r="L343" s="2" t="str">
        <f aca="false">TEXT(B343,"MMM-YYYY")</f>
        <v>Jun-2026</v>
      </c>
    </row>
    <row r="344" customFormat="false" ht="15" hidden="false" customHeight="false" outlineLevel="0" collapsed="false">
      <c r="A344" s="2" t="s">
        <v>391</v>
      </c>
      <c r="B344" s="3" t="n">
        <v>46190</v>
      </c>
      <c r="C344" s="2" t="s">
        <v>30</v>
      </c>
      <c r="D344" s="2" t="s">
        <v>46</v>
      </c>
      <c r="E344" s="2" t="s">
        <v>50</v>
      </c>
      <c r="F344" s="2" t="s">
        <v>22</v>
      </c>
      <c r="G344" s="2" t="s">
        <v>17</v>
      </c>
      <c r="H344" s="2" t="s">
        <v>18</v>
      </c>
      <c r="I344" s="2" t="n">
        <v>3</v>
      </c>
      <c r="J344" s="4" t="n">
        <v>2280</v>
      </c>
      <c r="K344" s="4" t="n">
        <f aca="false">I344*J344</f>
        <v>6840</v>
      </c>
      <c r="L344" s="2" t="str">
        <f aca="false">TEXT(B344,"MMM-YYYY")</f>
        <v>Jun-2026</v>
      </c>
    </row>
    <row r="345" customFormat="false" ht="15" hidden="false" customHeight="false" outlineLevel="0" collapsed="false">
      <c r="A345" s="2" t="s">
        <v>392</v>
      </c>
      <c r="B345" s="3" t="n">
        <v>46190</v>
      </c>
      <c r="C345" s="2" t="s">
        <v>61</v>
      </c>
      <c r="D345" s="2" t="s">
        <v>20</v>
      </c>
      <c r="E345" s="2" t="s">
        <v>21</v>
      </c>
      <c r="F345" s="2" t="s">
        <v>22</v>
      </c>
      <c r="G345" s="2" t="s">
        <v>41</v>
      </c>
      <c r="H345" s="2" t="s">
        <v>28</v>
      </c>
      <c r="I345" s="2" t="n">
        <v>10</v>
      </c>
      <c r="J345" s="4" t="n">
        <v>4743</v>
      </c>
      <c r="K345" s="4" t="n">
        <f aca="false">I345*J345</f>
        <v>47430</v>
      </c>
      <c r="L345" s="2" t="str">
        <f aca="false">TEXT(B345,"MMM-YYYY")</f>
        <v>Jun-2026</v>
      </c>
    </row>
    <row r="346" customFormat="false" ht="15" hidden="false" customHeight="false" outlineLevel="0" collapsed="false">
      <c r="A346" s="2" t="s">
        <v>393</v>
      </c>
      <c r="B346" s="3" t="n">
        <v>46191</v>
      </c>
      <c r="C346" s="2" t="s">
        <v>61</v>
      </c>
      <c r="D346" s="2" t="s">
        <v>20</v>
      </c>
      <c r="E346" s="2" t="s">
        <v>70</v>
      </c>
      <c r="F346" s="2" t="s">
        <v>22</v>
      </c>
      <c r="G346" s="2" t="s">
        <v>41</v>
      </c>
      <c r="H346" s="2" t="s">
        <v>33</v>
      </c>
      <c r="I346" s="2" t="n">
        <v>7</v>
      </c>
      <c r="J346" s="4" t="n">
        <v>4409</v>
      </c>
      <c r="K346" s="4" t="n">
        <f aca="false">I346*J346</f>
        <v>30863</v>
      </c>
      <c r="L346" s="2" t="str">
        <f aca="false">TEXT(B346,"MMM-YYYY")</f>
        <v>Jun-2026</v>
      </c>
    </row>
    <row r="347" customFormat="false" ht="15" hidden="false" customHeight="false" outlineLevel="0" collapsed="false">
      <c r="A347" s="2" t="s">
        <v>394</v>
      </c>
      <c r="B347" s="3" t="n">
        <v>46192</v>
      </c>
      <c r="C347" s="2" t="s">
        <v>61</v>
      </c>
      <c r="D347" s="2" t="s">
        <v>46</v>
      </c>
      <c r="E347" s="2" t="s">
        <v>47</v>
      </c>
      <c r="F347" s="2" t="s">
        <v>27</v>
      </c>
      <c r="G347" s="2" t="s">
        <v>17</v>
      </c>
      <c r="H347" s="2" t="s">
        <v>33</v>
      </c>
      <c r="I347" s="2" t="n">
        <v>11</v>
      </c>
      <c r="J347" s="4" t="n">
        <v>1904</v>
      </c>
      <c r="K347" s="4" t="n">
        <f aca="false">I347*J347</f>
        <v>20944</v>
      </c>
      <c r="L347" s="2" t="str">
        <f aca="false">TEXT(B347,"MMM-YYYY")</f>
        <v>Jun-2026</v>
      </c>
    </row>
    <row r="348" customFormat="false" ht="15" hidden="false" customHeight="false" outlineLevel="0" collapsed="false">
      <c r="A348" s="2" t="s">
        <v>395</v>
      </c>
      <c r="B348" s="3" t="n">
        <v>46194</v>
      </c>
      <c r="C348" s="2" t="s">
        <v>30</v>
      </c>
      <c r="D348" s="2" t="s">
        <v>14</v>
      </c>
      <c r="E348" s="2" t="s">
        <v>31</v>
      </c>
      <c r="F348" s="2" t="s">
        <v>38</v>
      </c>
      <c r="G348" s="2" t="s">
        <v>17</v>
      </c>
      <c r="H348" s="2" t="s">
        <v>18</v>
      </c>
      <c r="I348" s="2" t="n">
        <v>11</v>
      </c>
      <c r="J348" s="4" t="n">
        <v>812</v>
      </c>
      <c r="K348" s="4" t="n">
        <f aca="false">I348*J348</f>
        <v>8932</v>
      </c>
      <c r="L348" s="2" t="str">
        <f aca="false">TEXT(B348,"MMM-YYYY")</f>
        <v>Jun-2026</v>
      </c>
    </row>
    <row r="349" customFormat="false" ht="15" hidden="false" customHeight="false" outlineLevel="0" collapsed="false">
      <c r="A349" s="2" t="s">
        <v>396</v>
      </c>
      <c r="B349" s="3" t="n">
        <v>46194</v>
      </c>
      <c r="C349" s="2" t="s">
        <v>30</v>
      </c>
      <c r="D349" s="2" t="s">
        <v>14</v>
      </c>
      <c r="E349" s="2" t="s">
        <v>95</v>
      </c>
      <c r="F349" s="2" t="s">
        <v>57</v>
      </c>
      <c r="G349" s="2" t="s">
        <v>17</v>
      </c>
      <c r="H349" s="2" t="s">
        <v>33</v>
      </c>
      <c r="I349" s="2" t="n">
        <v>8</v>
      </c>
      <c r="J349" s="4" t="n">
        <v>1168</v>
      </c>
      <c r="K349" s="4" t="n">
        <f aca="false">I349*J349</f>
        <v>9344</v>
      </c>
      <c r="L349" s="2" t="str">
        <f aca="false">TEXT(B349,"MMM-YYYY")</f>
        <v>Jun-2026</v>
      </c>
    </row>
    <row r="350" customFormat="false" ht="15" hidden="false" customHeight="false" outlineLevel="0" collapsed="false">
      <c r="A350" s="2" t="s">
        <v>397</v>
      </c>
      <c r="B350" s="3" t="n">
        <v>46194</v>
      </c>
      <c r="C350" s="2" t="s">
        <v>30</v>
      </c>
      <c r="D350" s="2" t="s">
        <v>46</v>
      </c>
      <c r="E350" s="2" t="s">
        <v>47</v>
      </c>
      <c r="F350" s="2" t="s">
        <v>40</v>
      </c>
      <c r="G350" s="2" t="s">
        <v>17</v>
      </c>
      <c r="H350" s="2" t="s">
        <v>28</v>
      </c>
      <c r="I350" s="2" t="n">
        <v>9</v>
      </c>
      <c r="J350" s="4" t="n">
        <v>2399</v>
      </c>
      <c r="K350" s="4" t="n">
        <f aca="false">I350*J350</f>
        <v>21591</v>
      </c>
      <c r="L350" s="2" t="str">
        <f aca="false">TEXT(B350,"MMM-YYYY")</f>
        <v>Jun-2026</v>
      </c>
    </row>
    <row r="351" customFormat="false" ht="15" hidden="false" customHeight="false" outlineLevel="0" collapsed="false">
      <c r="A351" s="2" t="s">
        <v>398</v>
      </c>
      <c r="B351" s="3" t="n">
        <v>46195</v>
      </c>
      <c r="C351" s="2" t="s">
        <v>30</v>
      </c>
      <c r="D351" s="2" t="s">
        <v>20</v>
      </c>
      <c r="E351" s="2" t="s">
        <v>70</v>
      </c>
      <c r="F351" s="2" t="s">
        <v>40</v>
      </c>
      <c r="G351" s="2" t="s">
        <v>32</v>
      </c>
      <c r="H351" s="2" t="s">
        <v>33</v>
      </c>
      <c r="I351" s="2" t="n">
        <v>9</v>
      </c>
      <c r="J351" s="4" t="n">
        <v>4565</v>
      </c>
      <c r="K351" s="4" t="n">
        <f aca="false">I351*J351</f>
        <v>41085</v>
      </c>
      <c r="L351" s="2" t="str">
        <f aca="false">TEXT(B351,"MMM-YYYY")</f>
        <v>Jun-2026</v>
      </c>
    </row>
    <row r="352" customFormat="false" ht="15" hidden="false" customHeight="false" outlineLevel="0" collapsed="false">
      <c r="A352" s="2" t="s">
        <v>399</v>
      </c>
      <c r="B352" s="3" t="n">
        <v>46195</v>
      </c>
      <c r="C352" s="2" t="s">
        <v>30</v>
      </c>
      <c r="D352" s="2" t="s">
        <v>20</v>
      </c>
      <c r="E352" s="2" t="s">
        <v>70</v>
      </c>
      <c r="F352" s="2" t="s">
        <v>16</v>
      </c>
      <c r="G352" s="2" t="s">
        <v>17</v>
      </c>
      <c r="H352" s="2" t="s">
        <v>28</v>
      </c>
      <c r="I352" s="2" t="n">
        <v>11</v>
      </c>
      <c r="J352" s="4" t="n">
        <v>4039</v>
      </c>
      <c r="K352" s="4" t="n">
        <f aca="false">I352*J352</f>
        <v>44429</v>
      </c>
      <c r="L352" s="2" t="str">
        <f aca="false">TEXT(B352,"MMM-YYYY")</f>
        <v>Jun-2026</v>
      </c>
    </row>
    <row r="353" customFormat="false" ht="15" hidden="false" customHeight="false" outlineLevel="0" collapsed="false">
      <c r="A353" s="2" t="s">
        <v>400</v>
      </c>
      <c r="B353" s="3" t="n">
        <v>46195</v>
      </c>
      <c r="C353" s="2" t="s">
        <v>30</v>
      </c>
      <c r="D353" s="2" t="s">
        <v>14</v>
      </c>
      <c r="E353" s="2" t="s">
        <v>31</v>
      </c>
      <c r="F353" s="2" t="s">
        <v>40</v>
      </c>
      <c r="G353" s="2" t="s">
        <v>32</v>
      </c>
      <c r="H353" s="2" t="s">
        <v>33</v>
      </c>
      <c r="I353" s="2" t="n">
        <v>4</v>
      </c>
      <c r="J353" s="4" t="n">
        <v>1092</v>
      </c>
      <c r="K353" s="4" t="n">
        <f aca="false">I353*J353</f>
        <v>4368</v>
      </c>
      <c r="L353" s="2" t="str">
        <f aca="false">TEXT(B353,"MMM-YYYY")</f>
        <v>Jun-2026</v>
      </c>
    </row>
    <row r="354" customFormat="false" ht="15" hidden="false" customHeight="false" outlineLevel="0" collapsed="false">
      <c r="A354" s="2" t="s">
        <v>401</v>
      </c>
      <c r="B354" s="3" t="n">
        <v>46196</v>
      </c>
      <c r="C354" s="2" t="s">
        <v>13</v>
      </c>
      <c r="D354" s="2" t="s">
        <v>14</v>
      </c>
      <c r="E354" s="2" t="s">
        <v>15</v>
      </c>
      <c r="F354" s="2" t="s">
        <v>27</v>
      </c>
      <c r="G354" s="2" t="s">
        <v>17</v>
      </c>
      <c r="H354" s="2" t="s">
        <v>28</v>
      </c>
      <c r="I354" s="2" t="n">
        <v>2</v>
      </c>
      <c r="J354" s="4" t="n">
        <v>950</v>
      </c>
      <c r="K354" s="4" t="n">
        <f aca="false">I354*J354</f>
        <v>1900</v>
      </c>
      <c r="L354" s="2" t="str">
        <f aca="false">TEXT(B354,"MMM-YYYY")</f>
        <v>Jun-2026</v>
      </c>
    </row>
    <row r="355" customFormat="false" ht="15" hidden="false" customHeight="false" outlineLevel="0" collapsed="false">
      <c r="A355" s="2" t="s">
        <v>402</v>
      </c>
      <c r="B355" s="3" t="n">
        <v>46197</v>
      </c>
      <c r="C355" s="2" t="s">
        <v>30</v>
      </c>
      <c r="D355" s="2" t="s">
        <v>46</v>
      </c>
      <c r="E355" s="2" t="s">
        <v>50</v>
      </c>
      <c r="F355" s="2" t="s">
        <v>27</v>
      </c>
      <c r="G355" s="2" t="s">
        <v>17</v>
      </c>
      <c r="H355" s="2" t="s">
        <v>23</v>
      </c>
      <c r="I355" s="2" t="n">
        <v>8</v>
      </c>
      <c r="J355" s="4" t="n">
        <v>2508</v>
      </c>
      <c r="K355" s="4" t="n">
        <f aca="false">I355*J355</f>
        <v>20064</v>
      </c>
      <c r="L355" s="2" t="str">
        <f aca="false">TEXT(B355,"MMM-YYYY")</f>
        <v>Jun-2026</v>
      </c>
    </row>
    <row r="356" customFormat="false" ht="15" hidden="false" customHeight="false" outlineLevel="0" collapsed="false">
      <c r="A356" s="2" t="s">
        <v>403</v>
      </c>
      <c r="B356" s="3" t="n">
        <v>46197</v>
      </c>
      <c r="C356" s="2" t="s">
        <v>61</v>
      </c>
      <c r="D356" s="2" t="s">
        <v>35</v>
      </c>
      <c r="E356" s="2" t="s">
        <v>36</v>
      </c>
      <c r="F356" s="2" t="s">
        <v>38</v>
      </c>
      <c r="G356" s="2" t="s">
        <v>41</v>
      </c>
      <c r="H356" s="2" t="s">
        <v>33</v>
      </c>
      <c r="I356" s="2" t="n">
        <v>3</v>
      </c>
      <c r="J356" s="4" t="n">
        <v>3461</v>
      </c>
      <c r="K356" s="4" t="n">
        <f aca="false">I356*J356</f>
        <v>10383</v>
      </c>
      <c r="L356" s="2" t="str">
        <f aca="false">TEXT(B356,"MMM-YYYY")</f>
        <v>Jun-2026</v>
      </c>
    </row>
    <row r="357" customFormat="false" ht="15" hidden="false" customHeight="false" outlineLevel="0" collapsed="false">
      <c r="A357" s="2" t="s">
        <v>404</v>
      </c>
      <c r="B357" s="3" t="n">
        <v>46200</v>
      </c>
      <c r="C357" s="2" t="s">
        <v>30</v>
      </c>
      <c r="D357" s="2" t="s">
        <v>14</v>
      </c>
      <c r="E357" s="2" t="s">
        <v>26</v>
      </c>
      <c r="F357" s="2" t="s">
        <v>38</v>
      </c>
      <c r="G357" s="2" t="s">
        <v>41</v>
      </c>
      <c r="H357" s="2" t="s">
        <v>33</v>
      </c>
      <c r="I357" s="2" t="n">
        <v>5</v>
      </c>
      <c r="J357" s="4" t="n">
        <v>1073</v>
      </c>
      <c r="K357" s="4" t="n">
        <f aca="false">I357*J357</f>
        <v>5365</v>
      </c>
      <c r="L357" s="2" t="str">
        <f aca="false">TEXT(B357,"MMM-YYYY")</f>
        <v>Jun-2026</v>
      </c>
    </row>
    <row r="358" customFormat="false" ht="15" hidden="false" customHeight="false" outlineLevel="0" collapsed="false">
      <c r="A358" s="2" t="s">
        <v>405</v>
      </c>
      <c r="B358" s="3" t="n">
        <v>46200</v>
      </c>
      <c r="C358" s="2" t="s">
        <v>25</v>
      </c>
      <c r="D358" s="2" t="s">
        <v>35</v>
      </c>
      <c r="E358" s="2" t="s">
        <v>77</v>
      </c>
      <c r="F358" s="2" t="s">
        <v>57</v>
      </c>
      <c r="G358" s="2" t="s">
        <v>32</v>
      </c>
      <c r="H358" s="2" t="s">
        <v>33</v>
      </c>
      <c r="I358" s="2" t="n">
        <v>7</v>
      </c>
      <c r="J358" s="4" t="n">
        <v>2561</v>
      </c>
      <c r="K358" s="4" t="n">
        <f aca="false">I358*J358</f>
        <v>17927</v>
      </c>
      <c r="L358" s="2" t="str">
        <f aca="false">TEXT(B358,"MMM-YYYY")</f>
        <v>Jun-2026</v>
      </c>
    </row>
    <row r="359" customFormat="false" ht="15" hidden="false" customHeight="false" outlineLevel="0" collapsed="false">
      <c r="A359" s="2" t="s">
        <v>406</v>
      </c>
      <c r="B359" s="3" t="n">
        <v>46202</v>
      </c>
      <c r="C359" s="2" t="s">
        <v>30</v>
      </c>
      <c r="D359" s="2" t="s">
        <v>35</v>
      </c>
      <c r="E359" s="2" t="s">
        <v>52</v>
      </c>
      <c r="F359" s="2" t="s">
        <v>57</v>
      </c>
      <c r="G359" s="2" t="s">
        <v>41</v>
      </c>
      <c r="H359" s="2" t="s">
        <v>18</v>
      </c>
      <c r="I359" s="2" t="n">
        <v>2</v>
      </c>
      <c r="J359" s="4" t="n">
        <v>2611</v>
      </c>
      <c r="K359" s="4" t="n">
        <f aca="false">I359*J359</f>
        <v>5222</v>
      </c>
      <c r="L359" s="2" t="str">
        <f aca="false">TEXT(B359,"MMM-YYYY")</f>
        <v>Jun-2026</v>
      </c>
    </row>
    <row r="360" customFormat="false" ht="15" hidden="false" customHeight="false" outlineLevel="0" collapsed="false">
      <c r="A360" s="2" t="s">
        <v>407</v>
      </c>
      <c r="B360" s="3" t="n">
        <v>46203</v>
      </c>
      <c r="C360" s="2" t="s">
        <v>61</v>
      </c>
      <c r="D360" s="2" t="s">
        <v>46</v>
      </c>
      <c r="E360" s="2" t="s">
        <v>47</v>
      </c>
      <c r="F360" s="2" t="s">
        <v>16</v>
      </c>
      <c r="G360" s="2" t="s">
        <v>41</v>
      </c>
      <c r="H360" s="2" t="s">
        <v>33</v>
      </c>
      <c r="I360" s="2" t="n">
        <v>2</v>
      </c>
      <c r="J360" s="4" t="n">
        <v>2211</v>
      </c>
      <c r="K360" s="4" t="n">
        <f aca="false">I360*J360</f>
        <v>4422</v>
      </c>
      <c r="L360" s="2" t="str">
        <f aca="false">TEXT(B360,"MMM-YYYY")</f>
        <v>Jun-2026</v>
      </c>
    </row>
    <row r="361" customFormat="false" ht="15" hidden="false" customHeight="false" outlineLevel="0" collapsed="false">
      <c r="A361" s="2" t="s">
        <v>408</v>
      </c>
      <c r="B361" s="3" t="n">
        <v>46204</v>
      </c>
      <c r="C361" s="2" t="s">
        <v>61</v>
      </c>
      <c r="D361" s="2" t="s">
        <v>14</v>
      </c>
      <c r="E361" s="2" t="s">
        <v>95</v>
      </c>
      <c r="F361" s="2" t="s">
        <v>40</v>
      </c>
      <c r="G361" s="2" t="s">
        <v>17</v>
      </c>
      <c r="H361" s="2" t="s">
        <v>18</v>
      </c>
      <c r="I361" s="2" t="n">
        <v>8</v>
      </c>
      <c r="J361" s="4" t="n">
        <v>915</v>
      </c>
      <c r="K361" s="4" t="n">
        <f aca="false">I361*J361</f>
        <v>7320</v>
      </c>
      <c r="L361" s="2" t="str">
        <f aca="false">TEXT(B361,"MMM-YYYY")</f>
        <v>Jul-2026</v>
      </c>
    </row>
    <row r="362" customFormat="false" ht="15" hidden="false" customHeight="false" outlineLevel="0" collapsed="false">
      <c r="A362" s="2" t="s">
        <v>409</v>
      </c>
      <c r="B362" s="3" t="n">
        <v>46205</v>
      </c>
      <c r="C362" s="2" t="s">
        <v>30</v>
      </c>
      <c r="D362" s="2" t="s">
        <v>46</v>
      </c>
      <c r="E362" s="2" t="s">
        <v>50</v>
      </c>
      <c r="F362" s="2" t="s">
        <v>57</v>
      </c>
      <c r="G362" s="2" t="s">
        <v>32</v>
      </c>
      <c r="H362" s="2" t="s">
        <v>18</v>
      </c>
      <c r="I362" s="2" t="n">
        <v>6</v>
      </c>
      <c r="J362" s="4" t="n">
        <v>1991</v>
      </c>
      <c r="K362" s="4" t="n">
        <f aca="false">I362*J362</f>
        <v>11946</v>
      </c>
      <c r="L362" s="2" t="str">
        <f aca="false">TEXT(B362,"MMM-YYYY")</f>
        <v>Jul-2026</v>
      </c>
    </row>
    <row r="363" customFormat="false" ht="15" hidden="false" customHeight="false" outlineLevel="0" collapsed="false">
      <c r="A363" s="2" t="s">
        <v>410</v>
      </c>
      <c r="B363" s="3" t="n">
        <v>46206</v>
      </c>
      <c r="C363" s="2" t="s">
        <v>30</v>
      </c>
      <c r="D363" s="2" t="s">
        <v>20</v>
      </c>
      <c r="E363" s="2" t="s">
        <v>75</v>
      </c>
      <c r="F363" s="2" t="s">
        <v>16</v>
      </c>
      <c r="G363" s="2" t="s">
        <v>32</v>
      </c>
      <c r="H363" s="2" t="s">
        <v>23</v>
      </c>
      <c r="I363" s="2" t="n">
        <v>4</v>
      </c>
      <c r="J363" s="4" t="n">
        <v>3750</v>
      </c>
      <c r="K363" s="4" t="n">
        <f aca="false">I363*J363</f>
        <v>15000</v>
      </c>
      <c r="L363" s="2" t="str">
        <f aca="false">TEXT(B363,"MMM-YYYY")</f>
        <v>Jul-2026</v>
      </c>
    </row>
    <row r="364" customFormat="false" ht="15" hidden="false" customHeight="false" outlineLevel="0" collapsed="false">
      <c r="A364" s="2" t="s">
        <v>411</v>
      </c>
      <c r="B364" s="3" t="n">
        <v>46207</v>
      </c>
      <c r="C364" s="2" t="s">
        <v>13</v>
      </c>
      <c r="D364" s="2" t="s">
        <v>35</v>
      </c>
      <c r="E364" s="2" t="s">
        <v>72</v>
      </c>
      <c r="F364" s="2" t="s">
        <v>16</v>
      </c>
      <c r="G364" s="2" t="s">
        <v>17</v>
      </c>
      <c r="H364" s="2" t="s">
        <v>33</v>
      </c>
      <c r="I364" s="2" t="n">
        <v>5</v>
      </c>
      <c r="J364" s="4" t="n">
        <v>3016</v>
      </c>
      <c r="K364" s="4" t="n">
        <f aca="false">I364*J364</f>
        <v>15080</v>
      </c>
      <c r="L364" s="2" t="str">
        <f aca="false">TEXT(B364,"MMM-YYYY")</f>
        <v>Jul-2026</v>
      </c>
    </row>
    <row r="365" customFormat="false" ht="15" hidden="false" customHeight="false" outlineLevel="0" collapsed="false">
      <c r="A365" s="2" t="s">
        <v>412</v>
      </c>
      <c r="B365" s="3" t="n">
        <v>46207</v>
      </c>
      <c r="C365" s="2" t="s">
        <v>61</v>
      </c>
      <c r="D365" s="2" t="s">
        <v>35</v>
      </c>
      <c r="E365" s="2" t="s">
        <v>77</v>
      </c>
      <c r="F365" s="2" t="s">
        <v>27</v>
      </c>
      <c r="G365" s="2" t="s">
        <v>17</v>
      </c>
      <c r="H365" s="2" t="s">
        <v>33</v>
      </c>
      <c r="I365" s="2" t="n">
        <v>4</v>
      </c>
      <c r="J365" s="4" t="n">
        <v>3494</v>
      </c>
      <c r="K365" s="4" t="n">
        <f aca="false">I365*J365</f>
        <v>13976</v>
      </c>
      <c r="L365" s="2" t="str">
        <f aca="false">TEXT(B365,"MMM-YYYY")</f>
        <v>Jul-2026</v>
      </c>
    </row>
    <row r="366" customFormat="false" ht="15" hidden="false" customHeight="false" outlineLevel="0" collapsed="false">
      <c r="A366" s="2" t="s">
        <v>413</v>
      </c>
      <c r="B366" s="3" t="n">
        <v>46207</v>
      </c>
      <c r="C366" s="2" t="s">
        <v>25</v>
      </c>
      <c r="D366" s="2" t="s">
        <v>46</v>
      </c>
      <c r="E366" s="2" t="s">
        <v>56</v>
      </c>
      <c r="F366" s="2" t="s">
        <v>27</v>
      </c>
      <c r="G366" s="2" t="s">
        <v>41</v>
      </c>
      <c r="H366" s="2" t="s">
        <v>28</v>
      </c>
      <c r="I366" s="2" t="n">
        <v>8</v>
      </c>
      <c r="J366" s="4" t="n">
        <v>2703</v>
      </c>
      <c r="K366" s="4" t="n">
        <f aca="false">I366*J366</f>
        <v>21624</v>
      </c>
      <c r="L366" s="2" t="str">
        <f aca="false">TEXT(B366,"MMM-YYYY")</f>
        <v>Jul-2026</v>
      </c>
    </row>
    <row r="367" customFormat="false" ht="15" hidden="false" customHeight="false" outlineLevel="0" collapsed="false">
      <c r="A367" s="2" t="s">
        <v>414</v>
      </c>
      <c r="B367" s="3" t="n">
        <v>46208</v>
      </c>
      <c r="C367" s="2" t="s">
        <v>30</v>
      </c>
      <c r="D367" s="2" t="s">
        <v>35</v>
      </c>
      <c r="E367" s="2" t="s">
        <v>72</v>
      </c>
      <c r="F367" s="2" t="s">
        <v>38</v>
      </c>
      <c r="G367" s="2" t="s">
        <v>41</v>
      </c>
      <c r="H367" s="2" t="s">
        <v>33</v>
      </c>
      <c r="I367" s="2" t="n">
        <v>11</v>
      </c>
      <c r="J367" s="4" t="n">
        <v>2706</v>
      </c>
      <c r="K367" s="4" t="n">
        <f aca="false">I367*J367</f>
        <v>29766</v>
      </c>
      <c r="L367" s="2" t="str">
        <f aca="false">TEXT(B367,"MMM-YYYY")</f>
        <v>Jul-2026</v>
      </c>
    </row>
    <row r="368" customFormat="false" ht="15" hidden="false" customHeight="false" outlineLevel="0" collapsed="false">
      <c r="A368" s="2" t="s">
        <v>415</v>
      </c>
      <c r="B368" s="3" t="n">
        <v>46209</v>
      </c>
      <c r="C368" s="2" t="s">
        <v>25</v>
      </c>
      <c r="D368" s="2" t="s">
        <v>14</v>
      </c>
      <c r="E368" s="2" t="s">
        <v>15</v>
      </c>
      <c r="F368" s="2" t="s">
        <v>40</v>
      </c>
      <c r="G368" s="2" t="s">
        <v>17</v>
      </c>
      <c r="H368" s="2" t="s">
        <v>28</v>
      </c>
      <c r="I368" s="2" t="n">
        <v>7</v>
      </c>
      <c r="J368" s="4" t="n">
        <v>1165</v>
      </c>
      <c r="K368" s="4" t="n">
        <f aca="false">I368*J368</f>
        <v>8155</v>
      </c>
      <c r="L368" s="2" t="str">
        <f aca="false">TEXT(B368,"MMM-YYYY")</f>
        <v>Jul-2026</v>
      </c>
    </row>
    <row r="369" customFormat="false" ht="15" hidden="false" customHeight="false" outlineLevel="0" collapsed="false">
      <c r="A369" s="2" t="s">
        <v>416</v>
      </c>
      <c r="B369" s="3" t="n">
        <v>46209</v>
      </c>
      <c r="C369" s="2" t="s">
        <v>30</v>
      </c>
      <c r="D369" s="2" t="s">
        <v>14</v>
      </c>
      <c r="E369" s="2" t="s">
        <v>15</v>
      </c>
      <c r="F369" s="2" t="s">
        <v>40</v>
      </c>
      <c r="G369" s="2" t="s">
        <v>17</v>
      </c>
      <c r="H369" s="2" t="s">
        <v>28</v>
      </c>
      <c r="I369" s="2" t="n">
        <v>11</v>
      </c>
      <c r="J369" s="4" t="n">
        <v>1011</v>
      </c>
      <c r="K369" s="4" t="n">
        <f aca="false">I369*J369</f>
        <v>11121</v>
      </c>
      <c r="L369" s="2" t="str">
        <f aca="false">TEXT(B369,"MMM-YYYY")</f>
        <v>Jul-2026</v>
      </c>
    </row>
    <row r="370" customFormat="false" ht="15" hidden="false" customHeight="false" outlineLevel="0" collapsed="false">
      <c r="A370" s="2" t="s">
        <v>417</v>
      </c>
      <c r="B370" s="3" t="n">
        <v>46210</v>
      </c>
      <c r="C370" s="2" t="s">
        <v>61</v>
      </c>
      <c r="D370" s="2" t="s">
        <v>46</v>
      </c>
      <c r="E370" s="2" t="s">
        <v>64</v>
      </c>
      <c r="F370" s="2" t="s">
        <v>57</v>
      </c>
      <c r="G370" s="2" t="s">
        <v>17</v>
      </c>
      <c r="H370" s="2" t="s">
        <v>28</v>
      </c>
      <c r="I370" s="2" t="n">
        <v>3</v>
      </c>
      <c r="J370" s="4" t="n">
        <v>1809</v>
      </c>
      <c r="K370" s="4" t="n">
        <f aca="false">I370*J370</f>
        <v>5427</v>
      </c>
      <c r="L370" s="2" t="str">
        <f aca="false">TEXT(B370,"MMM-YYYY")</f>
        <v>Jul-2026</v>
      </c>
    </row>
    <row r="371" customFormat="false" ht="15" hidden="false" customHeight="false" outlineLevel="0" collapsed="false">
      <c r="A371" s="2" t="s">
        <v>418</v>
      </c>
      <c r="B371" s="3" t="n">
        <v>46211</v>
      </c>
      <c r="C371" s="2" t="s">
        <v>13</v>
      </c>
      <c r="D371" s="2" t="s">
        <v>35</v>
      </c>
      <c r="E371" s="2" t="s">
        <v>77</v>
      </c>
      <c r="F371" s="2" t="s">
        <v>22</v>
      </c>
      <c r="G371" s="2" t="s">
        <v>32</v>
      </c>
      <c r="H371" s="2" t="s">
        <v>33</v>
      </c>
      <c r="I371" s="2" t="n">
        <v>6</v>
      </c>
      <c r="J371" s="4" t="n">
        <v>3196</v>
      </c>
      <c r="K371" s="4" t="n">
        <f aca="false">I371*J371</f>
        <v>19176</v>
      </c>
      <c r="L371" s="2" t="str">
        <f aca="false">TEXT(B371,"MMM-YYYY")</f>
        <v>Jul-2026</v>
      </c>
    </row>
    <row r="372" customFormat="false" ht="15" hidden="false" customHeight="false" outlineLevel="0" collapsed="false">
      <c r="A372" s="2" t="s">
        <v>419</v>
      </c>
      <c r="B372" s="3" t="n">
        <v>46211</v>
      </c>
      <c r="C372" s="2" t="s">
        <v>13</v>
      </c>
      <c r="D372" s="2" t="s">
        <v>20</v>
      </c>
      <c r="E372" s="2" t="s">
        <v>75</v>
      </c>
      <c r="F372" s="2" t="s">
        <v>40</v>
      </c>
      <c r="G372" s="2" t="s">
        <v>32</v>
      </c>
      <c r="H372" s="2" t="s">
        <v>28</v>
      </c>
      <c r="I372" s="2" t="n">
        <v>7</v>
      </c>
      <c r="J372" s="4" t="n">
        <v>4235</v>
      </c>
      <c r="K372" s="4" t="n">
        <f aca="false">I372*J372</f>
        <v>29645</v>
      </c>
      <c r="L372" s="2" t="str">
        <f aca="false">TEXT(B372,"MMM-YYYY")</f>
        <v>Jul-2026</v>
      </c>
    </row>
    <row r="373" customFormat="false" ht="15" hidden="false" customHeight="false" outlineLevel="0" collapsed="false">
      <c r="A373" s="2" t="s">
        <v>420</v>
      </c>
      <c r="B373" s="3" t="n">
        <v>46212</v>
      </c>
      <c r="C373" s="2" t="s">
        <v>13</v>
      </c>
      <c r="D373" s="2" t="s">
        <v>20</v>
      </c>
      <c r="E373" s="2" t="s">
        <v>75</v>
      </c>
      <c r="F373" s="2" t="s">
        <v>57</v>
      </c>
      <c r="G373" s="2" t="s">
        <v>32</v>
      </c>
      <c r="H373" s="2" t="s">
        <v>33</v>
      </c>
      <c r="I373" s="2" t="n">
        <v>1</v>
      </c>
      <c r="J373" s="4" t="n">
        <v>3818</v>
      </c>
      <c r="K373" s="4" t="n">
        <f aca="false">I373*J373</f>
        <v>3818</v>
      </c>
      <c r="L373" s="2" t="str">
        <f aca="false">TEXT(B373,"MMM-YYYY")</f>
        <v>Jul-2026</v>
      </c>
    </row>
    <row r="374" customFormat="false" ht="15" hidden="false" customHeight="false" outlineLevel="0" collapsed="false">
      <c r="A374" s="2" t="s">
        <v>421</v>
      </c>
      <c r="B374" s="3" t="n">
        <v>46213</v>
      </c>
      <c r="C374" s="2" t="s">
        <v>61</v>
      </c>
      <c r="D374" s="2" t="s">
        <v>35</v>
      </c>
      <c r="E374" s="2" t="s">
        <v>52</v>
      </c>
      <c r="F374" s="2" t="s">
        <v>38</v>
      </c>
      <c r="G374" s="2" t="s">
        <v>17</v>
      </c>
      <c r="H374" s="2" t="s">
        <v>23</v>
      </c>
      <c r="I374" s="2" t="n">
        <v>8</v>
      </c>
      <c r="J374" s="4" t="n">
        <v>2930</v>
      </c>
      <c r="K374" s="4" t="n">
        <f aca="false">I374*J374</f>
        <v>23440</v>
      </c>
      <c r="L374" s="2" t="str">
        <f aca="false">TEXT(B374,"MMM-YYYY")</f>
        <v>Jul-2026</v>
      </c>
    </row>
    <row r="375" customFormat="false" ht="15" hidden="false" customHeight="false" outlineLevel="0" collapsed="false">
      <c r="A375" s="2" t="s">
        <v>422</v>
      </c>
      <c r="B375" s="3" t="n">
        <v>46213</v>
      </c>
      <c r="C375" s="2" t="s">
        <v>13</v>
      </c>
      <c r="D375" s="2" t="s">
        <v>35</v>
      </c>
      <c r="E375" s="2" t="s">
        <v>52</v>
      </c>
      <c r="F375" s="2" t="s">
        <v>57</v>
      </c>
      <c r="G375" s="2" t="s">
        <v>32</v>
      </c>
      <c r="H375" s="2" t="s">
        <v>23</v>
      </c>
      <c r="I375" s="2" t="n">
        <v>5</v>
      </c>
      <c r="J375" s="4" t="n">
        <v>3248</v>
      </c>
      <c r="K375" s="4" t="n">
        <f aca="false">I375*J375</f>
        <v>16240</v>
      </c>
      <c r="L375" s="2" t="str">
        <f aca="false">TEXT(B375,"MMM-YYYY")</f>
        <v>Jul-2026</v>
      </c>
    </row>
    <row r="376" customFormat="false" ht="15" hidden="false" customHeight="false" outlineLevel="0" collapsed="false">
      <c r="A376" s="2" t="s">
        <v>423</v>
      </c>
      <c r="B376" s="3" t="n">
        <v>46215</v>
      </c>
      <c r="C376" s="2" t="s">
        <v>30</v>
      </c>
      <c r="D376" s="2" t="s">
        <v>35</v>
      </c>
      <c r="E376" s="2" t="s">
        <v>36</v>
      </c>
      <c r="F376" s="2" t="s">
        <v>16</v>
      </c>
      <c r="G376" s="2" t="s">
        <v>17</v>
      </c>
      <c r="H376" s="2" t="s">
        <v>28</v>
      </c>
      <c r="I376" s="2" t="n">
        <v>6</v>
      </c>
      <c r="J376" s="4" t="n">
        <v>2596</v>
      </c>
      <c r="K376" s="4" t="n">
        <f aca="false">I376*J376</f>
        <v>15576</v>
      </c>
      <c r="L376" s="2" t="str">
        <f aca="false">TEXT(B376,"MMM-YYYY")</f>
        <v>Jul-2026</v>
      </c>
    </row>
    <row r="377" customFormat="false" ht="15" hidden="false" customHeight="false" outlineLevel="0" collapsed="false">
      <c r="A377" s="2" t="s">
        <v>424</v>
      </c>
      <c r="B377" s="3" t="n">
        <v>46216</v>
      </c>
      <c r="C377" s="2" t="s">
        <v>13</v>
      </c>
      <c r="D377" s="2" t="s">
        <v>14</v>
      </c>
      <c r="E377" s="2" t="s">
        <v>31</v>
      </c>
      <c r="F377" s="2" t="s">
        <v>27</v>
      </c>
      <c r="G377" s="2" t="s">
        <v>41</v>
      </c>
      <c r="H377" s="2" t="s">
        <v>33</v>
      </c>
      <c r="I377" s="2" t="n">
        <v>8</v>
      </c>
      <c r="J377" s="4" t="n">
        <v>963</v>
      </c>
      <c r="K377" s="4" t="n">
        <f aca="false">I377*J377</f>
        <v>7704</v>
      </c>
      <c r="L377" s="2" t="str">
        <f aca="false">TEXT(B377,"MMM-YYYY")</f>
        <v>Jul-2026</v>
      </c>
    </row>
    <row r="378" customFormat="false" ht="15" hidden="false" customHeight="false" outlineLevel="0" collapsed="false">
      <c r="A378" s="2" t="s">
        <v>425</v>
      </c>
      <c r="B378" s="3" t="n">
        <v>46217</v>
      </c>
      <c r="C378" s="2" t="s">
        <v>13</v>
      </c>
      <c r="D378" s="2" t="s">
        <v>35</v>
      </c>
      <c r="E378" s="2" t="s">
        <v>52</v>
      </c>
      <c r="F378" s="2" t="s">
        <v>22</v>
      </c>
      <c r="G378" s="2" t="s">
        <v>41</v>
      </c>
      <c r="H378" s="2" t="s">
        <v>18</v>
      </c>
      <c r="I378" s="2" t="n">
        <v>11</v>
      </c>
      <c r="J378" s="4" t="n">
        <v>3442</v>
      </c>
      <c r="K378" s="4" t="n">
        <f aca="false">I378*J378</f>
        <v>37862</v>
      </c>
      <c r="L378" s="2" t="str">
        <f aca="false">TEXT(B378,"MMM-YYYY")</f>
        <v>Jul-2026</v>
      </c>
    </row>
    <row r="379" customFormat="false" ht="15" hidden="false" customHeight="false" outlineLevel="0" collapsed="false">
      <c r="A379" s="2" t="s">
        <v>426</v>
      </c>
      <c r="B379" s="3" t="n">
        <v>46218</v>
      </c>
      <c r="C379" s="2" t="s">
        <v>61</v>
      </c>
      <c r="D379" s="2" t="s">
        <v>46</v>
      </c>
      <c r="E379" s="2" t="s">
        <v>47</v>
      </c>
      <c r="F379" s="2" t="s">
        <v>40</v>
      </c>
      <c r="G379" s="2" t="s">
        <v>32</v>
      </c>
      <c r="H379" s="2" t="s">
        <v>28</v>
      </c>
      <c r="I379" s="2" t="n">
        <v>2</v>
      </c>
      <c r="J379" s="4" t="n">
        <v>2344</v>
      </c>
      <c r="K379" s="4" t="n">
        <f aca="false">I379*J379</f>
        <v>4688</v>
      </c>
      <c r="L379" s="2" t="str">
        <f aca="false">TEXT(B379,"MMM-YYYY")</f>
        <v>Jul-2026</v>
      </c>
    </row>
    <row r="380" customFormat="false" ht="15" hidden="false" customHeight="false" outlineLevel="0" collapsed="false">
      <c r="A380" s="2" t="s">
        <v>427</v>
      </c>
      <c r="B380" s="3" t="n">
        <v>46218</v>
      </c>
      <c r="C380" s="2" t="s">
        <v>30</v>
      </c>
      <c r="D380" s="2" t="s">
        <v>35</v>
      </c>
      <c r="E380" s="2" t="s">
        <v>72</v>
      </c>
      <c r="F380" s="2" t="s">
        <v>27</v>
      </c>
      <c r="G380" s="2" t="s">
        <v>17</v>
      </c>
      <c r="H380" s="2" t="s">
        <v>28</v>
      </c>
      <c r="I380" s="2" t="n">
        <v>7</v>
      </c>
      <c r="J380" s="4" t="n">
        <v>2594</v>
      </c>
      <c r="K380" s="4" t="n">
        <f aca="false">I380*J380</f>
        <v>18158</v>
      </c>
      <c r="L380" s="2" t="str">
        <f aca="false">TEXT(B380,"MMM-YYYY")</f>
        <v>Jul-2026</v>
      </c>
    </row>
    <row r="381" customFormat="false" ht="15" hidden="false" customHeight="false" outlineLevel="0" collapsed="false">
      <c r="A381" s="2" t="s">
        <v>428</v>
      </c>
      <c r="B381" s="3" t="n">
        <v>46219</v>
      </c>
      <c r="C381" s="2" t="s">
        <v>30</v>
      </c>
      <c r="D381" s="2" t="s">
        <v>14</v>
      </c>
      <c r="E381" s="2" t="s">
        <v>31</v>
      </c>
      <c r="F381" s="2" t="s">
        <v>40</v>
      </c>
      <c r="G381" s="2" t="s">
        <v>32</v>
      </c>
      <c r="H381" s="2" t="s">
        <v>33</v>
      </c>
      <c r="I381" s="2" t="n">
        <v>3</v>
      </c>
      <c r="J381" s="4" t="n">
        <v>1011</v>
      </c>
      <c r="K381" s="4" t="n">
        <f aca="false">I381*J381</f>
        <v>3033</v>
      </c>
      <c r="L381" s="2" t="str">
        <f aca="false">TEXT(B381,"MMM-YYYY")</f>
        <v>Jul-2026</v>
      </c>
    </row>
    <row r="382" customFormat="false" ht="15" hidden="false" customHeight="false" outlineLevel="0" collapsed="false">
      <c r="A382" s="2" t="s">
        <v>429</v>
      </c>
      <c r="B382" s="3" t="n">
        <v>46220</v>
      </c>
      <c r="C382" s="2" t="s">
        <v>13</v>
      </c>
      <c r="D382" s="2" t="s">
        <v>35</v>
      </c>
      <c r="E382" s="2" t="s">
        <v>36</v>
      </c>
      <c r="F382" s="2" t="s">
        <v>27</v>
      </c>
      <c r="G382" s="2" t="s">
        <v>32</v>
      </c>
      <c r="H382" s="2" t="s">
        <v>33</v>
      </c>
      <c r="I382" s="2" t="n">
        <v>1</v>
      </c>
      <c r="J382" s="4" t="n">
        <v>3187</v>
      </c>
      <c r="K382" s="4" t="n">
        <f aca="false">I382*J382</f>
        <v>3187</v>
      </c>
      <c r="L382" s="2" t="str">
        <f aca="false">TEXT(B382,"MMM-YYYY")</f>
        <v>Jul-2026</v>
      </c>
    </row>
    <row r="383" customFormat="false" ht="15" hidden="false" customHeight="false" outlineLevel="0" collapsed="false">
      <c r="A383" s="2" t="s">
        <v>430</v>
      </c>
      <c r="B383" s="3" t="n">
        <v>46221</v>
      </c>
      <c r="C383" s="2" t="s">
        <v>30</v>
      </c>
      <c r="D383" s="2" t="s">
        <v>35</v>
      </c>
      <c r="E383" s="2" t="s">
        <v>72</v>
      </c>
      <c r="F383" s="2" t="s">
        <v>38</v>
      </c>
      <c r="G383" s="2" t="s">
        <v>17</v>
      </c>
      <c r="H383" s="2" t="s">
        <v>28</v>
      </c>
      <c r="I383" s="2" t="n">
        <v>6</v>
      </c>
      <c r="J383" s="4" t="n">
        <v>2583</v>
      </c>
      <c r="K383" s="4" t="n">
        <f aca="false">I383*J383</f>
        <v>15498</v>
      </c>
      <c r="L383" s="2" t="str">
        <f aca="false">TEXT(B383,"MMM-YYYY")</f>
        <v>Jul-2026</v>
      </c>
    </row>
    <row r="384" customFormat="false" ht="15" hidden="false" customHeight="false" outlineLevel="0" collapsed="false">
      <c r="A384" s="2" t="s">
        <v>431</v>
      </c>
      <c r="B384" s="3" t="n">
        <v>46222</v>
      </c>
      <c r="C384" s="2" t="s">
        <v>30</v>
      </c>
      <c r="D384" s="2" t="s">
        <v>35</v>
      </c>
      <c r="E384" s="2" t="s">
        <v>52</v>
      </c>
      <c r="F384" s="2" t="s">
        <v>27</v>
      </c>
      <c r="G384" s="2" t="s">
        <v>17</v>
      </c>
      <c r="H384" s="2" t="s">
        <v>33</v>
      </c>
      <c r="I384" s="2" t="n">
        <v>12</v>
      </c>
      <c r="J384" s="4" t="n">
        <v>3245</v>
      </c>
      <c r="K384" s="4" t="n">
        <f aca="false">I384*J384</f>
        <v>38940</v>
      </c>
      <c r="L384" s="2" t="str">
        <f aca="false">TEXT(B384,"MMM-YYYY")</f>
        <v>Jul-2026</v>
      </c>
    </row>
    <row r="385" customFormat="false" ht="15" hidden="false" customHeight="false" outlineLevel="0" collapsed="false">
      <c r="A385" s="2" t="s">
        <v>432</v>
      </c>
      <c r="B385" s="3" t="n">
        <v>46223</v>
      </c>
      <c r="C385" s="2" t="s">
        <v>13</v>
      </c>
      <c r="D385" s="2" t="s">
        <v>46</v>
      </c>
      <c r="E385" s="2" t="s">
        <v>50</v>
      </c>
      <c r="F385" s="2" t="s">
        <v>40</v>
      </c>
      <c r="G385" s="2" t="s">
        <v>41</v>
      </c>
      <c r="H385" s="2" t="s">
        <v>18</v>
      </c>
      <c r="I385" s="2" t="n">
        <v>1</v>
      </c>
      <c r="J385" s="4" t="n">
        <v>2669</v>
      </c>
      <c r="K385" s="4" t="n">
        <f aca="false">I385*J385</f>
        <v>2669</v>
      </c>
      <c r="L385" s="2" t="str">
        <f aca="false">TEXT(B385,"MMM-YYYY")</f>
        <v>Jul-2026</v>
      </c>
    </row>
    <row r="386" customFormat="false" ht="15" hidden="false" customHeight="false" outlineLevel="0" collapsed="false">
      <c r="A386" s="2" t="s">
        <v>433</v>
      </c>
      <c r="B386" s="3" t="n">
        <v>46224</v>
      </c>
      <c r="C386" s="2" t="s">
        <v>25</v>
      </c>
      <c r="D386" s="2" t="s">
        <v>46</v>
      </c>
      <c r="E386" s="2" t="s">
        <v>50</v>
      </c>
      <c r="F386" s="2" t="s">
        <v>40</v>
      </c>
      <c r="G386" s="2" t="s">
        <v>17</v>
      </c>
      <c r="H386" s="2" t="s">
        <v>28</v>
      </c>
      <c r="I386" s="2" t="n">
        <v>4</v>
      </c>
      <c r="J386" s="4" t="n">
        <v>2659</v>
      </c>
      <c r="K386" s="4" t="n">
        <f aca="false">I386*J386</f>
        <v>10636</v>
      </c>
      <c r="L386" s="2" t="str">
        <f aca="false">TEXT(B386,"MMM-YYYY")</f>
        <v>Jul-2026</v>
      </c>
    </row>
    <row r="387" customFormat="false" ht="15" hidden="false" customHeight="false" outlineLevel="0" collapsed="false">
      <c r="A387" s="2" t="s">
        <v>434</v>
      </c>
      <c r="B387" s="3" t="n">
        <v>46226</v>
      </c>
      <c r="C387" s="2" t="s">
        <v>30</v>
      </c>
      <c r="D387" s="2" t="s">
        <v>46</v>
      </c>
      <c r="E387" s="2" t="s">
        <v>64</v>
      </c>
      <c r="F387" s="2" t="s">
        <v>40</v>
      </c>
      <c r="G387" s="2" t="s">
        <v>41</v>
      </c>
      <c r="H387" s="2" t="s">
        <v>23</v>
      </c>
      <c r="I387" s="2" t="n">
        <v>12</v>
      </c>
      <c r="J387" s="4" t="n">
        <v>1932</v>
      </c>
      <c r="K387" s="4" t="n">
        <f aca="false">I387*J387</f>
        <v>23184</v>
      </c>
      <c r="L387" s="2" t="str">
        <f aca="false">TEXT(B387,"MMM-YYYY")</f>
        <v>Jul-2026</v>
      </c>
    </row>
    <row r="388" customFormat="false" ht="15" hidden="false" customHeight="false" outlineLevel="0" collapsed="false">
      <c r="A388" s="2" t="s">
        <v>435</v>
      </c>
      <c r="B388" s="3" t="n">
        <v>46227</v>
      </c>
      <c r="C388" s="2" t="s">
        <v>13</v>
      </c>
      <c r="D388" s="2" t="s">
        <v>20</v>
      </c>
      <c r="E388" s="2" t="s">
        <v>75</v>
      </c>
      <c r="F388" s="2" t="s">
        <v>27</v>
      </c>
      <c r="G388" s="2" t="s">
        <v>41</v>
      </c>
      <c r="H388" s="2" t="s">
        <v>23</v>
      </c>
      <c r="I388" s="2" t="n">
        <v>8</v>
      </c>
      <c r="J388" s="4" t="n">
        <v>3648</v>
      </c>
      <c r="K388" s="4" t="n">
        <f aca="false">I388*J388</f>
        <v>29184</v>
      </c>
      <c r="L388" s="2" t="str">
        <f aca="false">TEXT(B388,"MMM-YYYY")</f>
        <v>Jul-2026</v>
      </c>
    </row>
    <row r="389" customFormat="false" ht="15" hidden="false" customHeight="false" outlineLevel="0" collapsed="false">
      <c r="A389" s="2" t="s">
        <v>436</v>
      </c>
      <c r="B389" s="3" t="n">
        <v>46227</v>
      </c>
      <c r="C389" s="2" t="s">
        <v>30</v>
      </c>
      <c r="D389" s="2" t="s">
        <v>14</v>
      </c>
      <c r="E389" s="2" t="s">
        <v>95</v>
      </c>
      <c r="F389" s="2" t="s">
        <v>38</v>
      </c>
      <c r="G389" s="2" t="s">
        <v>41</v>
      </c>
      <c r="H389" s="2" t="s">
        <v>18</v>
      </c>
      <c r="I389" s="2" t="n">
        <v>12</v>
      </c>
      <c r="J389" s="4" t="n">
        <v>1091</v>
      </c>
      <c r="K389" s="4" t="n">
        <f aca="false">I389*J389</f>
        <v>13092</v>
      </c>
      <c r="L389" s="2" t="str">
        <f aca="false">TEXT(B389,"MMM-YYYY")</f>
        <v>Jul-2026</v>
      </c>
    </row>
    <row r="390" customFormat="false" ht="15" hidden="false" customHeight="false" outlineLevel="0" collapsed="false">
      <c r="A390" s="2" t="s">
        <v>437</v>
      </c>
      <c r="B390" s="3" t="n">
        <v>46229</v>
      </c>
      <c r="C390" s="2" t="s">
        <v>30</v>
      </c>
      <c r="D390" s="2" t="s">
        <v>46</v>
      </c>
      <c r="E390" s="2" t="s">
        <v>64</v>
      </c>
      <c r="F390" s="2" t="s">
        <v>40</v>
      </c>
      <c r="G390" s="2" t="s">
        <v>41</v>
      </c>
      <c r="H390" s="2" t="s">
        <v>28</v>
      </c>
      <c r="I390" s="2" t="n">
        <v>8</v>
      </c>
      <c r="J390" s="4" t="n">
        <v>2488</v>
      </c>
      <c r="K390" s="4" t="n">
        <f aca="false">I390*J390</f>
        <v>19904</v>
      </c>
      <c r="L390" s="2" t="str">
        <f aca="false">TEXT(B390,"MMM-YYYY")</f>
        <v>Jul-2026</v>
      </c>
    </row>
    <row r="391" customFormat="false" ht="15" hidden="false" customHeight="false" outlineLevel="0" collapsed="false">
      <c r="A391" s="2" t="s">
        <v>438</v>
      </c>
      <c r="B391" s="3" t="n">
        <v>46230</v>
      </c>
      <c r="C391" s="2" t="s">
        <v>25</v>
      </c>
      <c r="D391" s="2" t="s">
        <v>46</v>
      </c>
      <c r="E391" s="2" t="s">
        <v>56</v>
      </c>
      <c r="F391" s="2" t="s">
        <v>38</v>
      </c>
      <c r="G391" s="2" t="s">
        <v>41</v>
      </c>
      <c r="H391" s="2" t="s">
        <v>33</v>
      </c>
      <c r="I391" s="2" t="n">
        <v>2</v>
      </c>
      <c r="J391" s="4" t="n">
        <v>2043</v>
      </c>
      <c r="K391" s="4" t="n">
        <f aca="false">I391*J391</f>
        <v>4086</v>
      </c>
      <c r="L391" s="2" t="str">
        <f aca="false">TEXT(B391,"MMM-YYYY")</f>
        <v>Jul-2026</v>
      </c>
    </row>
    <row r="392" customFormat="false" ht="15" hidden="false" customHeight="false" outlineLevel="0" collapsed="false">
      <c r="A392" s="2" t="s">
        <v>439</v>
      </c>
      <c r="B392" s="3" t="n">
        <v>46230</v>
      </c>
      <c r="C392" s="2" t="s">
        <v>25</v>
      </c>
      <c r="D392" s="2" t="s">
        <v>46</v>
      </c>
      <c r="E392" s="2" t="s">
        <v>47</v>
      </c>
      <c r="F392" s="2" t="s">
        <v>16</v>
      </c>
      <c r="G392" s="2" t="s">
        <v>41</v>
      </c>
      <c r="H392" s="2" t="s">
        <v>18</v>
      </c>
      <c r="I392" s="2" t="n">
        <v>3</v>
      </c>
      <c r="J392" s="4" t="n">
        <v>2081</v>
      </c>
      <c r="K392" s="4" t="n">
        <f aca="false">I392*J392</f>
        <v>6243</v>
      </c>
      <c r="L392" s="2" t="str">
        <f aca="false">TEXT(B392,"MMM-YYYY")</f>
        <v>Jul-2026</v>
      </c>
    </row>
    <row r="393" customFormat="false" ht="15" hidden="false" customHeight="false" outlineLevel="0" collapsed="false">
      <c r="A393" s="2" t="s">
        <v>440</v>
      </c>
      <c r="B393" s="3" t="n">
        <v>46231</v>
      </c>
      <c r="C393" s="2" t="s">
        <v>25</v>
      </c>
      <c r="D393" s="2" t="s">
        <v>46</v>
      </c>
      <c r="E393" s="2" t="s">
        <v>64</v>
      </c>
      <c r="F393" s="2" t="s">
        <v>22</v>
      </c>
      <c r="G393" s="2" t="s">
        <v>41</v>
      </c>
      <c r="H393" s="2" t="s">
        <v>18</v>
      </c>
      <c r="I393" s="2" t="n">
        <v>2</v>
      </c>
      <c r="J393" s="4" t="n">
        <v>2448</v>
      </c>
      <c r="K393" s="4" t="n">
        <f aca="false">I393*J393</f>
        <v>4896</v>
      </c>
      <c r="L393" s="2" t="str">
        <f aca="false">TEXT(B393,"MMM-YYYY")</f>
        <v>Jul-2026</v>
      </c>
    </row>
    <row r="394" customFormat="false" ht="15" hidden="false" customHeight="false" outlineLevel="0" collapsed="false">
      <c r="A394" s="2" t="s">
        <v>441</v>
      </c>
      <c r="B394" s="3" t="n">
        <v>46231</v>
      </c>
      <c r="C394" s="2" t="s">
        <v>13</v>
      </c>
      <c r="D394" s="2" t="s">
        <v>35</v>
      </c>
      <c r="E394" s="2" t="s">
        <v>77</v>
      </c>
      <c r="F394" s="2" t="s">
        <v>57</v>
      </c>
      <c r="G394" s="2" t="s">
        <v>17</v>
      </c>
      <c r="H394" s="2" t="s">
        <v>33</v>
      </c>
      <c r="I394" s="2" t="n">
        <v>1</v>
      </c>
      <c r="J394" s="4" t="n">
        <v>3124</v>
      </c>
      <c r="K394" s="4" t="n">
        <f aca="false">I394*J394</f>
        <v>3124</v>
      </c>
      <c r="L394" s="2" t="str">
        <f aca="false">TEXT(B394,"MMM-YYYY")</f>
        <v>Jul-2026</v>
      </c>
    </row>
    <row r="395" customFormat="false" ht="15" hidden="false" customHeight="false" outlineLevel="0" collapsed="false">
      <c r="A395" s="2" t="s">
        <v>442</v>
      </c>
      <c r="B395" s="3" t="n">
        <v>46231</v>
      </c>
      <c r="C395" s="2" t="s">
        <v>61</v>
      </c>
      <c r="D395" s="2" t="s">
        <v>35</v>
      </c>
      <c r="E395" s="2" t="s">
        <v>77</v>
      </c>
      <c r="F395" s="2" t="s">
        <v>27</v>
      </c>
      <c r="G395" s="2" t="s">
        <v>41</v>
      </c>
      <c r="H395" s="2" t="s">
        <v>23</v>
      </c>
      <c r="I395" s="2" t="n">
        <v>7</v>
      </c>
      <c r="J395" s="4" t="n">
        <v>3091</v>
      </c>
      <c r="K395" s="4" t="n">
        <f aca="false">I395*J395</f>
        <v>21637</v>
      </c>
      <c r="L395" s="2" t="str">
        <f aca="false">TEXT(B395,"MMM-YYYY")</f>
        <v>Jul-2026</v>
      </c>
    </row>
    <row r="396" customFormat="false" ht="15" hidden="false" customHeight="false" outlineLevel="0" collapsed="false">
      <c r="A396" s="2" t="s">
        <v>443</v>
      </c>
      <c r="B396" s="3" t="n">
        <v>46231</v>
      </c>
      <c r="C396" s="2" t="s">
        <v>30</v>
      </c>
      <c r="D396" s="2" t="s">
        <v>35</v>
      </c>
      <c r="E396" s="2" t="s">
        <v>77</v>
      </c>
      <c r="F396" s="2" t="s">
        <v>57</v>
      </c>
      <c r="G396" s="2" t="s">
        <v>41</v>
      </c>
      <c r="H396" s="2" t="s">
        <v>28</v>
      </c>
      <c r="I396" s="2" t="n">
        <v>12</v>
      </c>
      <c r="J396" s="4" t="n">
        <v>2659</v>
      </c>
      <c r="K396" s="4" t="n">
        <f aca="false">I396*J396</f>
        <v>31908</v>
      </c>
      <c r="L396" s="2" t="str">
        <f aca="false">TEXT(B396,"MMM-YYYY")</f>
        <v>Jul-2026</v>
      </c>
    </row>
    <row r="397" customFormat="false" ht="15" hidden="false" customHeight="false" outlineLevel="0" collapsed="false">
      <c r="A397" s="2" t="s">
        <v>444</v>
      </c>
      <c r="B397" s="3" t="n">
        <v>46232</v>
      </c>
      <c r="C397" s="2" t="s">
        <v>25</v>
      </c>
      <c r="D397" s="2" t="s">
        <v>14</v>
      </c>
      <c r="E397" s="2" t="s">
        <v>26</v>
      </c>
      <c r="F397" s="2" t="s">
        <v>22</v>
      </c>
      <c r="G397" s="2" t="s">
        <v>17</v>
      </c>
      <c r="H397" s="2" t="s">
        <v>18</v>
      </c>
      <c r="I397" s="2" t="n">
        <v>8</v>
      </c>
      <c r="J397" s="4" t="n">
        <v>899</v>
      </c>
      <c r="K397" s="4" t="n">
        <f aca="false">I397*J397</f>
        <v>7192</v>
      </c>
      <c r="L397" s="2" t="str">
        <f aca="false">TEXT(B397,"MMM-YYYY")</f>
        <v>Jul-2026</v>
      </c>
    </row>
    <row r="398" customFormat="false" ht="15" hidden="false" customHeight="false" outlineLevel="0" collapsed="false">
      <c r="A398" s="2" t="s">
        <v>445</v>
      </c>
      <c r="B398" s="3" t="n">
        <v>46232</v>
      </c>
      <c r="C398" s="2" t="s">
        <v>30</v>
      </c>
      <c r="D398" s="2" t="s">
        <v>35</v>
      </c>
      <c r="E398" s="2" t="s">
        <v>52</v>
      </c>
      <c r="F398" s="2" t="s">
        <v>40</v>
      </c>
      <c r="G398" s="2" t="s">
        <v>41</v>
      </c>
      <c r="H398" s="2" t="s">
        <v>33</v>
      </c>
      <c r="I398" s="2" t="n">
        <v>3</v>
      </c>
      <c r="J398" s="4" t="n">
        <v>3188</v>
      </c>
      <c r="K398" s="4" t="n">
        <f aca="false">I398*J398</f>
        <v>9564</v>
      </c>
      <c r="L398" s="2" t="str">
        <f aca="false">TEXT(B398,"MMM-YYYY")</f>
        <v>Jul-2026</v>
      </c>
    </row>
    <row r="399" customFormat="false" ht="15" hidden="false" customHeight="false" outlineLevel="0" collapsed="false">
      <c r="A399" s="2" t="s">
        <v>446</v>
      </c>
      <c r="B399" s="3" t="n">
        <v>46232</v>
      </c>
      <c r="C399" s="2" t="s">
        <v>30</v>
      </c>
      <c r="D399" s="2" t="s">
        <v>20</v>
      </c>
      <c r="E399" s="2" t="s">
        <v>21</v>
      </c>
      <c r="F399" s="2" t="s">
        <v>27</v>
      </c>
      <c r="G399" s="2" t="s">
        <v>41</v>
      </c>
      <c r="H399" s="2" t="s">
        <v>23</v>
      </c>
      <c r="I399" s="2" t="n">
        <v>10</v>
      </c>
      <c r="J399" s="4" t="n">
        <v>3601</v>
      </c>
      <c r="K399" s="4" t="n">
        <f aca="false">I399*J399</f>
        <v>36010</v>
      </c>
      <c r="L399" s="2" t="str">
        <f aca="false">TEXT(B399,"MMM-YYYY")</f>
        <v>Jul-2026</v>
      </c>
    </row>
    <row r="400" customFormat="false" ht="15" hidden="false" customHeight="false" outlineLevel="0" collapsed="false">
      <c r="A400" s="2" t="s">
        <v>447</v>
      </c>
      <c r="B400" s="3" t="n">
        <v>46233</v>
      </c>
      <c r="C400" s="2" t="s">
        <v>30</v>
      </c>
      <c r="D400" s="2" t="s">
        <v>20</v>
      </c>
      <c r="E400" s="2" t="s">
        <v>70</v>
      </c>
      <c r="F400" s="2" t="s">
        <v>57</v>
      </c>
      <c r="G400" s="2" t="s">
        <v>32</v>
      </c>
      <c r="H400" s="2" t="s">
        <v>28</v>
      </c>
      <c r="I400" s="2" t="n">
        <v>7</v>
      </c>
      <c r="J400" s="4" t="n">
        <v>4326</v>
      </c>
      <c r="K400" s="4" t="n">
        <f aca="false">I400*J400</f>
        <v>30282</v>
      </c>
      <c r="L400" s="2" t="str">
        <f aca="false">TEXT(B400,"MMM-YYYY")</f>
        <v>Jul-2026</v>
      </c>
    </row>
    <row r="401" customFormat="false" ht="15" hidden="false" customHeight="false" outlineLevel="0" collapsed="false">
      <c r="A401" s="2" t="s">
        <v>448</v>
      </c>
      <c r="B401" s="3" t="n">
        <v>46234</v>
      </c>
      <c r="C401" s="2" t="s">
        <v>13</v>
      </c>
      <c r="D401" s="2" t="s">
        <v>14</v>
      </c>
      <c r="E401" s="2" t="s">
        <v>95</v>
      </c>
      <c r="F401" s="2" t="s">
        <v>22</v>
      </c>
      <c r="G401" s="2" t="s">
        <v>17</v>
      </c>
      <c r="H401" s="2" t="s">
        <v>28</v>
      </c>
      <c r="I401" s="2" t="n">
        <v>7</v>
      </c>
      <c r="J401" s="4" t="n">
        <v>804</v>
      </c>
      <c r="K401" s="4" t="n">
        <f aca="false">I401*J401</f>
        <v>5628</v>
      </c>
      <c r="L401" s="2" t="str">
        <f aca="false">TEXT(B401,"MMM-YYYY")</f>
        <v>Jul-2026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8"/>
    <col collapsed="false" customWidth="true" hidden="false" outlineLevel="0" max="6" min="6" style="0" width="4"/>
    <col collapsed="false" customWidth="true" hidden="false" outlineLevel="0" max="8" min="7" style="0" width="16"/>
  </cols>
  <sheetData>
    <row r="1" customFormat="false" ht="19.7" hidden="false" customHeight="false" outlineLevel="0" collapsed="false">
      <c r="A1" s="5" t="s">
        <v>449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6" t="s">
        <v>450</v>
      </c>
      <c r="B2" s="6"/>
      <c r="C2" s="6"/>
      <c r="D2" s="6"/>
      <c r="E2" s="6"/>
      <c r="F2" s="6"/>
      <c r="G2" s="6"/>
      <c r="H2" s="6"/>
    </row>
    <row r="4" customFormat="false" ht="15" hidden="false" customHeight="false" outlineLevel="0" collapsed="false">
      <c r="A4" s="7" t="s">
        <v>451</v>
      </c>
      <c r="B4" s="8" t="s">
        <v>452</v>
      </c>
    </row>
    <row r="6" customFormat="false" ht="15" hidden="false" customHeight="false" outlineLevel="0" collapsed="false">
      <c r="A6" s="9" t="s">
        <v>453</v>
      </c>
      <c r="B6" s="9" t="s">
        <v>454</v>
      </c>
      <c r="C6" s="9" t="s">
        <v>455</v>
      </c>
      <c r="D6" s="9" t="s">
        <v>456</v>
      </c>
      <c r="E6" s="9" t="s">
        <v>457</v>
      </c>
    </row>
    <row r="7" customFormat="false" ht="17.35" hidden="false" customHeight="false" outlineLevel="0" collapsed="false">
      <c r="A7" s="10" t="n">
        <f aca="false">SUMIFS('Raw Data'!$K$2:$K$401,'Raw Data'!$C$2:$C$401,IF($B$4="All","&lt;&gt;",$B$4))</f>
        <v>6104802</v>
      </c>
      <c r="B7" s="10" t="n">
        <f aca="false">COUNTIFS('Raw Data'!$C$2:$C$401,IF($B$4="All","&lt;&gt;",$B$4))</f>
        <v>400</v>
      </c>
      <c r="C7" s="10" t="n">
        <f aca="false">SUMIFS('Raw Data'!$I$2:$I$401,'Raw Data'!$C$2:$C$401,IF($B$4="All","&lt;&gt;",$B$4))</f>
        <v>2535</v>
      </c>
      <c r="D7" s="10" t="n">
        <f aca="false">IFERROR(A7/B7,0)</f>
        <v>15262.005</v>
      </c>
      <c r="E7" s="11" t="str">
        <f aca="false">INDEX(A11:A14,MATCH(MAX(B11:B14),B11:B14,0))</f>
        <v>Electronics</v>
      </c>
    </row>
    <row r="10" customFormat="false" ht="15" hidden="false" customHeight="false" outlineLevel="0" collapsed="false">
      <c r="A10" s="12" t="s">
        <v>3</v>
      </c>
      <c r="B10" s="12" t="s">
        <v>458</v>
      </c>
      <c r="D10" s="12" t="s">
        <v>11</v>
      </c>
      <c r="E10" s="12" t="s">
        <v>458</v>
      </c>
    </row>
    <row r="11" customFormat="false" ht="15" hidden="false" customHeight="false" outlineLevel="0" collapsed="false">
      <c r="A11" s="2" t="s">
        <v>46</v>
      </c>
      <c r="B11" s="4" t="n">
        <f aca="false">SUMIFS('Raw Data'!$K$2:$K$401,'Raw Data'!$C$2:$C$401,IF($B$4="All","&lt;&gt;",$B$4),'Raw Data'!$D$2:$D$401,A11)</f>
        <v>2079436</v>
      </c>
      <c r="D11" s="2" t="s">
        <v>459</v>
      </c>
      <c r="E11" s="4" t="n">
        <f aca="false">SUMIFS('Raw Data'!$K$2:$K$401,'Raw Data'!$C$2:$C$401,IF($B$4="All","&lt;&gt;",$B$4),'Raw Data'!$L$2:$L$401,D11)</f>
        <v>484985</v>
      </c>
    </row>
    <row r="12" customFormat="false" ht="15" hidden="false" customHeight="false" outlineLevel="0" collapsed="false">
      <c r="A12" s="2" t="s">
        <v>35</v>
      </c>
      <c r="B12" s="4" t="n">
        <f aca="false">SUMIFS('Raw Data'!$K$2:$K$401,'Raw Data'!$C$2:$C$401,IF($B$4="All","&lt;&gt;",$B$4),'Raw Data'!$D$2:$D$401,A12)</f>
        <v>2040062</v>
      </c>
      <c r="D12" s="2" t="s">
        <v>460</v>
      </c>
      <c r="E12" s="4" t="n">
        <f aca="false">SUMIFS('Raw Data'!$K$2:$K$401,'Raw Data'!$C$2:$C$401,IF($B$4="All","&lt;&gt;",$B$4),'Raw Data'!$L$2:$L$401,D12)</f>
        <v>408369</v>
      </c>
    </row>
    <row r="13" customFormat="false" ht="15" hidden="false" customHeight="false" outlineLevel="0" collapsed="false">
      <c r="A13" s="2" t="s">
        <v>14</v>
      </c>
      <c r="B13" s="4" t="n">
        <f aca="false">SUMIFS('Raw Data'!$K$2:$K$401,'Raw Data'!$C$2:$C$401,IF($B$4="All","&lt;&gt;",$B$4),'Raw Data'!$D$2:$D$401,A13)</f>
        <v>568509</v>
      </c>
      <c r="D13" s="2" t="s">
        <v>461</v>
      </c>
      <c r="E13" s="4" t="n">
        <f aca="false">SUMIFS('Raw Data'!$K$2:$K$401,'Raw Data'!$C$2:$C$401,IF($B$4="All","&lt;&gt;",$B$4),'Raw Data'!$L$2:$L$401,D13)</f>
        <v>502333</v>
      </c>
    </row>
    <row r="14" customFormat="false" ht="15" hidden="false" customHeight="false" outlineLevel="0" collapsed="false">
      <c r="A14" s="2" t="s">
        <v>20</v>
      </c>
      <c r="B14" s="4" t="n">
        <f aca="false">SUMIFS('Raw Data'!$K$2:$K$401,'Raw Data'!$C$2:$C$401,IF($B$4="All","&lt;&gt;",$B$4),'Raw Data'!$D$2:$D$401,A14)</f>
        <v>1416795</v>
      </c>
      <c r="D14" s="2" t="s">
        <v>462</v>
      </c>
      <c r="E14" s="4" t="n">
        <f aca="false">SUMIFS('Raw Data'!$K$2:$K$401,'Raw Data'!$C$2:$C$401,IF($B$4="All","&lt;&gt;",$B$4),'Raw Data'!$L$2:$L$401,D14)</f>
        <v>557482</v>
      </c>
    </row>
    <row r="15" customFormat="false" ht="15" hidden="false" customHeight="false" outlineLevel="0" collapsed="false">
      <c r="D15" s="2" t="s">
        <v>463</v>
      </c>
      <c r="E15" s="4" t="n">
        <f aca="false">SUMIFS('Raw Data'!$K$2:$K$401,'Raw Data'!$C$2:$C$401,IF($B$4="All","&lt;&gt;",$B$4),'Raw Data'!$L$2:$L$401,D15)</f>
        <v>680453</v>
      </c>
    </row>
    <row r="16" customFormat="false" ht="15" hidden="false" customHeight="false" outlineLevel="0" collapsed="false">
      <c r="D16" s="2" t="s">
        <v>464</v>
      </c>
      <c r="E16" s="4" t="n">
        <f aca="false">SUMIFS('Raw Data'!$K$2:$K$401,'Raw Data'!$C$2:$C$401,IF($B$4="All","&lt;&gt;",$B$4),'Raw Data'!$L$2:$L$401,D16)</f>
        <v>454013</v>
      </c>
    </row>
    <row r="17" customFormat="false" ht="15" hidden="false" customHeight="false" outlineLevel="0" collapsed="false">
      <c r="A17" s="13" t="s">
        <v>465</v>
      </c>
      <c r="B17" s="13"/>
      <c r="D17" s="14" t="s">
        <v>466</v>
      </c>
      <c r="E17" s="14"/>
    </row>
    <row r="18" customFormat="false" ht="15" hidden="false" customHeight="false" outlineLevel="0" collapsed="false">
      <c r="A18" s="12" t="s">
        <v>5</v>
      </c>
      <c r="B18" s="12" t="s">
        <v>458</v>
      </c>
      <c r="D18" s="12" t="s">
        <v>467</v>
      </c>
      <c r="E18" s="15" t="s">
        <v>458</v>
      </c>
    </row>
    <row r="19" customFormat="false" ht="15" hidden="false" customHeight="false" outlineLevel="0" collapsed="false">
      <c r="A19" s="2" t="s">
        <v>22</v>
      </c>
      <c r="B19" s="4" t="n">
        <f aca="false">SUMIFS('Raw Data'!$K$2:$K$401,'Raw Data'!$C$2:$C$401,IF($B$4="All","&lt;&gt;",$B$4),'Raw Data'!$F$2:$F$401,A19)</f>
        <v>1043383</v>
      </c>
      <c r="D19" s="2" t="s">
        <v>17</v>
      </c>
      <c r="E19" s="4" t="n">
        <f aca="false">SUMIFS('Raw Data'!$K$2:$K$401,'Raw Data'!$C$2:$C$401,IF($B$4="All","&lt;&gt;",$B$4),'Raw Data'!$G$2:$G$401,D19)</f>
        <v>2921926</v>
      </c>
    </row>
    <row r="20" customFormat="false" ht="15" hidden="false" customHeight="false" outlineLevel="0" collapsed="false">
      <c r="A20" s="2" t="s">
        <v>57</v>
      </c>
      <c r="B20" s="4" t="n">
        <f aca="false">SUMIFS('Raw Data'!$K$2:$K$401,'Raw Data'!$C$2:$C$401,IF($B$4="All","&lt;&gt;",$B$4),'Raw Data'!$F$2:$F$401,A20)</f>
        <v>1176086</v>
      </c>
      <c r="D20" s="2" t="s">
        <v>32</v>
      </c>
      <c r="E20" s="4" t="n">
        <f aca="false">SUMIFS('Raw Data'!$K$2:$K$401,'Raw Data'!$C$2:$C$401,IF($B$4="All","&lt;&gt;",$B$4),'Raw Data'!$G$2:$G$401,D20)</f>
        <v>1261465</v>
      </c>
    </row>
    <row r="21" customFormat="false" ht="15" hidden="false" customHeight="false" outlineLevel="0" collapsed="false">
      <c r="A21" s="2" t="s">
        <v>16</v>
      </c>
      <c r="B21" s="4" t="n">
        <f aca="false">SUMIFS('Raw Data'!$K$2:$K$401,'Raw Data'!$C$2:$C$401,IF($B$4="All","&lt;&gt;",$B$4),'Raw Data'!$F$2:$F$401,A21)</f>
        <v>819065</v>
      </c>
      <c r="D21" s="2" t="s">
        <v>41</v>
      </c>
      <c r="E21" s="4" t="n">
        <f aca="false">SUMIFS('Raw Data'!$K$2:$K$401,'Raw Data'!$C$2:$C$401,IF($B$4="All","&lt;&gt;",$B$4),'Raw Data'!$G$2:$G$401,D21)</f>
        <v>1921411</v>
      </c>
    </row>
    <row r="22" customFormat="false" ht="15" hidden="false" customHeight="false" outlineLevel="0" collapsed="false">
      <c r="A22" s="2" t="s">
        <v>38</v>
      </c>
      <c r="B22" s="4" t="n">
        <f aca="false">SUMIFS('Raw Data'!$K$2:$K$401,'Raw Data'!$C$2:$C$401,IF($B$4="All","&lt;&gt;",$B$4),'Raw Data'!$F$2:$F$401,A22)</f>
        <v>898620</v>
      </c>
      <c r="D22" s="2" t="s">
        <v>468</v>
      </c>
      <c r="E22" s="4" t="n">
        <f aca="false">SUMIFS('Raw Data'!$K$2:$K$401,'Raw Data'!$C$2:$C$401,IF($B$4="All","&lt;&gt;",$B$4),'Raw Data'!$L$2:$L$401,D22)</f>
        <v>635619</v>
      </c>
    </row>
    <row r="23" customFormat="false" ht="15" hidden="false" customHeight="false" outlineLevel="0" collapsed="false">
      <c r="A23" s="2" t="s">
        <v>27</v>
      </c>
      <c r="B23" s="4" t="n">
        <f aca="false">SUMIFS('Raw Data'!$K$2:$K$401,'Raw Data'!$C$2:$C$401,IF($B$4="All","&lt;&gt;",$B$4),'Raw Data'!$F$2:$F$401,A23)</f>
        <v>1073662</v>
      </c>
    </row>
    <row r="24" customFormat="false" ht="15" hidden="false" customHeight="false" outlineLevel="0" collapsed="false">
      <c r="A24" s="2" t="s">
        <v>40</v>
      </c>
      <c r="B24" s="4" t="n">
        <f aca="false">SUMIFS('Raw Data'!$K$2:$K$401,'Raw Data'!$C$2:$C$401,IF($B$4="All","&lt;&gt;",$B$4),'Raw Data'!$F$2:$F$401,A24)</f>
        <v>1093986</v>
      </c>
    </row>
  </sheetData>
  <mergeCells count="4">
    <mergeCell ref="A1:H1"/>
    <mergeCell ref="A2:H2"/>
    <mergeCell ref="A17:B17"/>
    <mergeCell ref="D17:E17"/>
  </mergeCells>
  <conditionalFormatting sqref="B19:B24">
    <cfRule type="colorScale" priority="2">
      <colorScale>
        <cfvo type="min" val="0"/>
        <cfvo type="max" val="0"/>
        <color rgb="FFFFC7CE"/>
        <color rgb="FFC6EFCE"/>
      </colorScale>
    </cfRule>
  </conditionalFormatting>
  <dataValidations count="1">
    <dataValidation allowBlank="false" errorStyle="stop" operator="between" showDropDown="false" showErrorMessage="false" showInputMessage="false" sqref="B4" type="list">
      <formula1>"All,North,South,East,West"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2026-07-21T11:23:16Z</dcterms:created>
  <dc:creator>openpyxl</dc:creator>
  <dc:description/>
  <dc:language>en-US</dc:language>
  <cp:lastModifiedBy/>
  <dcterms:modified xsi:type="dcterms:W3CDTF">2026-07-21T11:23:22Z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